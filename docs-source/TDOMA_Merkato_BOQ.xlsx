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etailed BOQ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<sst xmlns="http://schemas.openxmlformats.org/spreadsheetml/2006/main" count="294" uniqueCount="233">
  <si>
    <t xml:space="preserve">BOQ Summary &amp; Capital Structure (ETB)</t>
  </si>
  <si>
    <t xml:space="preserve">Elemental construction summary, then the full capex and funding structure. Ties exactly to the financial model.</t>
  </si>
  <si>
    <t xml:space="preserve">Element</t>
  </si>
  <si>
    <t xml:space="preserve">Amount ETB</t>
  </si>
  <si>
    <t xml:space="preserve">% of capex</t>
  </si>
  <si>
    <t xml:space="preserve">Note</t>
  </si>
  <si>
    <t xml:space="preserve">A  Preliminaries &amp; General</t>
  </si>
  <si>
    <t xml:space="preserve">7 items</t>
  </si>
  <si>
    <t xml:space="preserve">B  Substructure</t>
  </si>
  <si>
    <t xml:space="preserve">11 items</t>
  </si>
  <si>
    <t xml:space="preserve">C  Superstructure - Frame, Floors &amp; Roof</t>
  </si>
  <si>
    <t xml:space="preserve">D  External Envelope</t>
  </si>
  <si>
    <t xml:space="preserve">4 items</t>
  </si>
  <si>
    <t xml:space="preserve">E  Internal Divisions</t>
  </si>
  <si>
    <t xml:space="preserve">F  Finishes</t>
  </si>
  <si>
    <t xml:space="preserve">6 items</t>
  </si>
  <si>
    <t xml:space="preserve">G  Fittings &amp; Sanitary</t>
  </si>
  <si>
    <t xml:space="preserve">2 items</t>
  </si>
  <si>
    <t xml:space="preserve">H  Services / Mep</t>
  </si>
  <si>
    <t xml:space="preserve">10 items</t>
  </si>
  <si>
    <t xml:space="preserve">I  Specialist Systems</t>
  </si>
  <si>
    <t xml:space="preserve">5 items</t>
  </si>
  <si>
    <t xml:space="preserve">J  External Works (2,000 M2 Surface)</t>
  </si>
  <si>
    <t xml:space="preserve">TOTAL CONSTRUCTION WORKS (BOQ A-J)</t>
  </si>
  <si>
    <t xml:space="preserve">Sum of the 10 BOQ elements</t>
  </si>
  <si>
    <t xml:space="preserve">DEVELOPMENT COST / CAPEX</t>
  </si>
  <si>
    <t xml:space="preserve">Construction works (BOQ A-J)</t>
  </si>
  <si>
    <t xml:space="preserve">In-house design @2%</t>
  </si>
  <si>
    <t xml:space="preserve">TDOMA staff cost, capitalised per IAS 16.17(a); general overhead excluded per IAS 16.19(d)</t>
  </si>
  <si>
    <t xml:space="preserve">Specialist consultancy</t>
  </si>
  <si>
    <t xml:space="preserve">Industry norm, not a vendor quotation - specialist systems need external design</t>
  </si>
  <si>
    <t xml:space="preserve">Contingency @12%</t>
  </si>
  <si>
    <t xml:space="preserve">On construction + design + specialist</t>
  </si>
  <si>
    <t xml:space="preserve">Capital works</t>
  </si>
  <si>
    <t xml:space="preserve">FF&amp;E - TDOMA scope</t>
  </si>
  <si>
    <t xml:space="preserve">Common areas + HQ + hire-out venues. Operator fits out hotel; tenants fit out demises.</t>
  </si>
  <si>
    <t xml:space="preserve">IDC (IAS 23, capitalised)</t>
  </si>
  <si>
    <t xml:space="preserve">Solved monthly on the IDC sheet - model is fully acyclic, no iteration needed</t>
  </si>
  <si>
    <t xml:space="preserve">Arrangement fee @1.5%</t>
  </si>
  <si>
    <t xml:space="preserve">Borrowing cost - IAS 23</t>
  </si>
  <si>
    <t xml:space="preserve">Building sub-total (CASH)</t>
  </si>
  <si>
    <t xml:space="preserve">Land (in-kind, NON-CASH)</t>
  </si>
  <si>
    <t xml:space="preserve">City's PPP contribution</t>
  </si>
  <si>
    <t xml:space="preserve">TOTAL CAPEX / DEVELOPMENT COST</t>
  </si>
  <si>
    <t xml:space="preserve">Pre-opening &amp; marketing</t>
  </si>
  <si>
    <t xml:space="preserve">TOTAL USES</t>
  </si>
  <si>
    <t xml:space="preserve">FUNDING</t>
  </si>
  <si>
    <t xml:space="preserve">Cash requirement (ex-land)</t>
  </si>
  <si>
    <t xml:space="preserve">TDOMA equity (75% of cash)</t>
  </si>
  <si>
    <t xml:space="preserve">City land (in-kind, non-cash)</t>
  </si>
  <si>
    <t xml:space="preserve">Debt (25% of cash)</t>
  </si>
  <si>
    <t xml:space="preserve">TOTAL SOURCES</t>
  </si>
  <si>
    <t xml:space="preserve">CHECK: Sources - Uses</t>
  </si>
  <si>
    <t xml:space="preserve">Must be zero</t>
  </si>
  <si>
    <t xml:space="preserve">Input VAT recoverable on capex (refunded in year 1)</t>
  </si>
  <si>
    <t xml:space="preserve">Memo - USD @160</t>
  </si>
  <si>
    <t xml:space="preserve">Reference</t>
  </si>
  <si>
    <t xml:space="preserve">Capex per gross m2</t>
  </si>
  <si>
    <t xml:space="preserve">Total capex / gross building area</t>
  </si>
  <si>
    <t xml:space="preserve">EFFECTIVE capex per TDOMA gross m2 (70%)</t>
  </si>
  <si>
    <t xml:space="preserve">TDOMA's 70% economic share of the building</t>
  </si>
  <si>
    <t xml:space="preserve">Note: elemental estimate at concept stage; re-measure from detailed drawings before tender. Rates in ETB, current mid-2026; verify with a quantity surveyor and current supplier quotations. Land is the City's non-cash PPP contribution; capitalised costs follow IAS 16/IAS 23 as noted.</t>
  </si>
  <si>
    <t xml:space="preserve">Detailed Bill of Quantities (elemental / preliminary) - ETB</t>
  </si>
  <si>
    <t xml:space="preserve">Concept-stage elemental BOQ. Blue = input (Qty, Rate). Amount = Qty x Rate. Re-measure from detailed drawings before tender.</t>
  </si>
  <si>
    <t xml:space="preserve">Item</t>
  </si>
  <si>
    <t xml:space="preserve">Description</t>
  </si>
  <si>
    <t xml:space="preserve">Unit</t>
  </si>
  <si>
    <t xml:space="preserve">Qty</t>
  </si>
  <si>
    <t xml:space="preserve">Rate ETB</t>
  </si>
  <si>
    <t xml:space="preserve">A</t>
  </si>
  <si>
    <t xml:space="preserve">PRELIMINARIES &amp; GENERAL</t>
  </si>
  <si>
    <t xml:space="preserve">A.1</t>
  </si>
  <si>
    <t xml:space="preserve">Site establishment, hoarding, offices &amp; welfare</t>
  </si>
  <si>
    <t xml:space="preserve">sum</t>
  </si>
  <si>
    <t xml:space="preserve">A.2</t>
  </si>
  <si>
    <t xml:space="preserve">Site management, supervision &amp; staff</t>
  </si>
  <si>
    <t xml:space="preserve">month</t>
  </si>
  <si>
    <t xml:space="preserve">A.3</t>
  </si>
  <si>
    <t xml:space="preserve">Insurances, performance bond &amp; permits</t>
  </si>
  <si>
    <t xml:space="preserve">A.4</t>
  </si>
  <si>
    <t xml:space="preserve">Temporary services (power, water, telecoms)</t>
  </si>
  <si>
    <t xml:space="preserve">A.5</t>
  </si>
  <si>
    <t xml:space="preserve">Health, safety &amp; environmental management</t>
  </si>
  <si>
    <t xml:space="preserve">A.6</t>
  </si>
  <si>
    <t xml:space="preserve">Tower crane, hoists &amp; major plant</t>
  </si>
  <si>
    <t xml:space="preserve">A.7</t>
  </si>
  <si>
    <t xml:space="preserve">Testing, commissioning &amp; handover</t>
  </si>
  <si>
    <t xml:space="preserve">Subtotal A</t>
  </si>
  <si>
    <t xml:space="preserve">B</t>
  </si>
  <si>
    <t xml:space="preserve">SUBSTRUCTURE</t>
  </si>
  <si>
    <t xml:space="preserve">B.1</t>
  </si>
  <si>
    <t xml:space="preserve">Site clearance &amp; strip</t>
  </si>
  <si>
    <t xml:space="preserve">m2</t>
  </si>
  <si>
    <t xml:space="preserve">B.2</t>
  </si>
  <si>
    <t xml:space="preserve">Bulk excavation for 3 basement levels</t>
  </si>
  <si>
    <t xml:space="preserve">m3</t>
  </si>
  <si>
    <t xml:space="preserve">B.3</t>
  </si>
  <si>
    <t xml:space="preserve">Secant/contiguous pile retaining wall</t>
  </si>
  <si>
    <t xml:space="preserve">B.4</t>
  </si>
  <si>
    <t xml:space="preserve">Dewatering during construction</t>
  </si>
  <si>
    <t xml:space="preserve">B.5</t>
  </si>
  <si>
    <t xml:space="preserve">Cart away &amp; disposal of surplus</t>
  </si>
  <si>
    <t xml:space="preserve">B.6</t>
  </si>
  <si>
    <t xml:space="preserve">Blinding / lean concrete</t>
  </si>
  <si>
    <t xml:space="preserve">B.7</t>
  </si>
  <si>
    <t xml:space="preserve">RC raft foundation</t>
  </si>
  <si>
    <t xml:space="preserve">B.8</t>
  </si>
  <si>
    <t xml:space="preserve">RC basement retaining walls</t>
  </si>
  <si>
    <t xml:space="preserve">B.9</t>
  </si>
  <si>
    <t xml:space="preserve">RC basement columns, beams &amp; slabs (3 levels)</t>
  </si>
  <si>
    <t xml:space="preserve">B.10</t>
  </si>
  <si>
    <t xml:space="preserve">Tanking / waterproofing to basement</t>
  </si>
  <si>
    <t xml:space="preserve">B.11</t>
  </si>
  <si>
    <t xml:space="preserve">Basement drainage, sumps &amp; pumps</t>
  </si>
  <si>
    <t xml:space="preserve">Subtotal B</t>
  </si>
  <si>
    <t xml:space="preserve">C</t>
  </si>
  <si>
    <t xml:space="preserve">SUPERSTRUCTURE - FRAME, FLOORS &amp; ROOF</t>
  </si>
  <si>
    <t xml:space="preserve">C.1</t>
  </si>
  <si>
    <t xml:space="preserve">RC columns (above grade)</t>
  </si>
  <si>
    <t xml:space="preserve">C.2</t>
  </si>
  <si>
    <t xml:space="preserve">RC beams</t>
  </si>
  <si>
    <t xml:space="preserve">C.3</t>
  </si>
  <si>
    <t xml:space="preserve">Transfer structure at podium/tower interface</t>
  </si>
  <si>
    <t xml:space="preserve">C.4</t>
  </si>
  <si>
    <t xml:space="preserve">Suspended RC floor slabs (above grade)</t>
  </si>
  <si>
    <t xml:space="preserve">C.5</t>
  </si>
  <si>
    <t xml:space="preserve">RC roof slab &amp; parapets</t>
  </si>
  <si>
    <t xml:space="preserve">C.6</t>
  </si>
  <si>
    <t xml:space="preserve">RC staircases (all cores)</t>
  </si>
  <si>
    <t xml:space="preserve">C.7</t>
  </si>
  <si>
    <t xml:space="preserve">Vehicle ramps</t>
  </si>
  <si>
    <t xml:space="preserve">Subtotal C</t>
  </si>
  <si>
    <t xml:space="preserve">D</t>
  </si>
  <si>
    <t xml:space="preserve">EXTERNAL ENVELOPE</t>
  </si>
  <si>
    <t xml:space="preserve">D.1</t>
  </si>
  <si>
    <t xml:space="preserve">Unitised curtain walling / structural glazing</t>
  </si>
  <si>
    <t xml:space="preserve">D.2</t>
  </si>
  <si>
    <t xml:space="preserve">Kinetic bronze facade shading system</t>
  </si>
  <si>
    <t xml:space="preserve">D.3</t>
  </si>
  <si>
    <t xml:space="preserve">Solid cladding / rendered external walls</t>
  </si>
  <si>
    <t xml:space="preserve">D.4</t>
  </si>
  <si>
    <t xml:space="preserve">Main entrance portals &amp; revolving doors</t>
  </si>
  <si>
    <t xml:space="preserve">no</t>
  </si>
  <si>
    <t xml:space="preserve">Subtotal D</t>
  </si>
  <si>
    <t xml:space="preserve">E</t>
  </si>
  <si>
    <t xml:space="preserve">INTERNAL DIVISIONS</t>
  </si>
  <si>
    <t xml:space="preserve">E.1</t>
  </si>
  <si>
    <t xml:space="preserve">Blockwork / partition walls</t>
  </si>
  <si>
    <t xml:space="preserve">E.2</t>
  </si>
  <si>
    <t xml:space="preserve">Fire-rated &amp; acoustic partitions</t>
  </si>
  <si>
    <t xml:space="preserve">E.3</t>
  </si>
  <si>
    <t xml:space="preserve">Glazed internal partitions</t>
  </si>
  <si>
    <t xml:space="preserve">E.4</t>
  </si>
  <si>
    <t xml:space="preserve">Internal doors (all types)</t>
  </si>
  <si>
    <t xml:space="preserve">Subtotal E</t>
  </si>
  <si>
    <t xml:space="preserve">F</t>
  </si>
  <si>
    <t xml:space="preserve">FINISHES</t>
  </si>
  <si>
    <t xml:space="preserve">F.1</t>
  </si>
  <si>
    <t xml:space="preserve">Floor finishes - retail &amp; public (tile/stone)</t>
  </si>
  <si>
    <t xml:space="preserve">F.2</t>
  </si>
  <si>
    <t xml:space="preserve">Floor finishes - offices &amp; back of house</t>
  </si>
  <si>
    <t xml:space="preserve">F.3</t>
  </si>
  <si>
    <t xml:space="preserve">Floor finishes - hotel &amp; serviced apts (premium)</t>
  </si>
  <si>
    <t xml:space="preserve">F.4</t>
  </si>
  <si>
    <t xml:space="preserve">Wall finishes, plaster &amp; paint</t>
  </si>
  <si>
    <t xml:space="preserve">F.5</t>
  </si>
  <si>
    <t xml:space="preserve">Suspended ceilings</t>
  </si>
  <si>
    <t xml:space="preserve">F.6</t>
  </si>
  <si>
    <t xml:space="preserve">Feature finishes (lobbies, atrium, rooftop)</t>
  </si>
  <si>
    <t xml:space="preserve">Subtotal F</t>
  </si>
  <si>
    <t xml:space="preserve">G</t>
  </si>
  <si>
    <t xml:space="preserve">FITTINGS &amp; SANITARY</t>
  </si>
  <si>
    <t xml:space="preserve">G.1</t>
  </si>
  <si>
    <t xml:space="preserve">Sanitary fittings &amp; toilet fit-out</t>
  </si>
  <si>
    <t xml:space="preserve">WC grp</t>
  </si>
  <si>
    <t xml:space="preserve">G.2</t>
  </si>
  <si>
    <t xml:space="preserve">Built-in joinery, reception counters &amp; signage</t>
  </si>
  <si>
    <t xml:space="preserve">Subtotal G</t>
  </si>
  <si>
    <t xml:space="preserve">H</t>
  </si>
  <si>
    <t xml:space="preserve">SERVICES / MEP</t>
  </si>
  <si>
    <t xml:space="preserve">H.1</t>
  </si>
  <si>
    <t xml:space="preserve">Cold &amp; hot water supply, tanks &amp; pumps</t>
  </si>
  <si>
    <t xml:space="preserve">H.2</t>
  </si>
  <si>
    <t xml:space="preserve">Soil, waste &amp; rainwater drainage</t>
  </si>
  <si>
    <t xml:space="preserve">H.3</t>
  </si>
  <si>
    <t xml:space="preserve">HVAC - ventilation &amp; cooling</t>
  </si>
  <si>
    <t xml:space="preserve">H.4</t>
  </si>
  <si>
    <t xml:space="preserve">Electrical LV distribution &amp; small power</t>
  </si>
  <si>
    <t xml:space="preserve">H.5</t>
  </si>
  <si>
    <t xml:space="preserve">Standby generators &amp; transformers</t>
  </si>
  <si>
    <t xml:space="preserve">H.6</t>
  </si>
  <si>
    <t xml:space="preserve">Lighting (internal &amp; feature)</t>
  </si>
  <si>
    <t xml:space="preserve">H.7</t>
  </si>
  <si>
    <t xml:space="preserve">Fire detection, sprinklers &amp; hydrants</t>
  </si>
  <si>
    <t xml:space="preserve">H.8</t>
  </si>
  <si>
    <t xml:space="preserve">Passenger &amp; goods lifts</t>
  </si>
  <si>
    <t xml:space="preserve">H.9</t>
  </si>
  <si>
    <t xml:space="preserve">Escalators (podium)</t>
  </si>
  <si>
    <t xml:space="preserve">H.10</t>
  </si>
  <si>
    <t xml:space="preserve">BMS, ELV, data &amp; IoT cabling</t>
  </si>
  <si>
    <t xml:space="preserve">Subtotal H</t>
  </si>
  <si>
    <t xml:space="preserve">I</t>
  </si>
  <si>
    <t xml:space="preserve">SPECIALIST SYSTEMS</t>
  </si>
  <si>
    <t xml:space="preserve">I.1</t>
  </si>
  <si>
    <t xml:space="preserve">Automated logistics (ASRS / AGV / cross-dock)</t>
  </si>
  <si>
    <t xml:space="preserve">I.2</t>
  </si>
  <si>
    <t xml:space="preserve">Data centre / cloud node fit-out</t>
  </si>
  <si>
    <t xml:space="preserve">I.3</t>
  </si>
  <si>
    <t xml:space="preserve">Hydraulic 2-car stacking parking system</t>
  </si>
  <si>
    <t xml:space="preserve">platform</t>
  </si>
  <si>
    <t xml:space="preserve">I.4</t>
  </si>
  <si>
    <t xml:space="preserve">Bonded &amp; cold storage fit-out</t>
  </si>
  <si>
    <t xml:space="preserve">I.5</t>
  </si>
  <si>
    <t xml:space="preserve">Cashless, access-control &amp; security systems</t>
  </si>
  <si>
    <t xml:space="preserve">Subtotal I</t>
  </si>
  <si>
    <t xml:space="preserve">J</t>
  </si>
  <si>
    <t xml:space="preserve">EXTERNAL WORKS (2,000 m2 surface)</t>
  </si>
  <si>
    <t xml:space="preserve">J.1</t>
  </si>
  <si>
    <t xml:space="preserve">Site paving &amp; hardstanding</t>
  </si>
  <si>
    <t xml:space="preserve">J.2</t>
  </si>
  <si>
    <t xml:space="preserve">Surface parking equipment &amp; markings</t>
  </si>
  <si>
    <t xml:space="preserve">J.3</t>
  </si>
  <si>
    <t xml:space="preserve">Loading dock apron, levellers &amp; equipment</t>
  </si>
  <si>
    <t xml:space="preserve">J.4</t>
  </si>
  <si>
    <t xml:space="preserve">Soft landscaping, seating &amp; water feature</t>
  </si>
  <si>
    <t xml:space="preserve">J.5</t>
  </si>
  <si>
    <t xml:space="preserve">Boundary wall, gates &amp; gatehouse</t>
  </si>
  <si>
    <t xml:space="preserve">J.6</t>
  </si>
  <si>
    <t xml:space="preserve">External drainage &amp; utility connections</t>
  </si>
  <si>
    <t xml:space="preserve">J.7</t>
  </si>
  <si>
    <t xml:space="preserve">Site lighting &amp; external power</t>
  </si>
  <si>
    <t xml:space="preserve">Subtotal J</t>
  </si>
  <si>
    <t xml:space="preserve">TOTAL CONSTRUCTION WORKS (A-J)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</si>
</sst>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9"/>
      <color rgb="FF6B6B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6B6B66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2C3E50"/>
      </patternFill>
    </fill>
    <fill>
      <patternFill patternType="solid">
        <fgColor rgb="FFEEF2F7"/>
        <bgColor rgb="FFFFFFFF"/>
      </patternFill>
    </fill>
    <fill>
      <patternFill patternType="solid">
        <fgColor rgb="FF2C3E50"/>
        <bgColor rgb="FF1F3A5F"/>
      </patternFill>
    </fill>
    <fill>
      <patternFill patternType="solid">
        <fgColor rgb="FF1B5E7A"/>
        <bgColor rgb="FF1F3A5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2D9E2"/>
      </left>
      <right style="thin">
        <color rgb="FFD2D9E2"/>
      </right>
      <top style="thin">
        <color rgb="FFD2D9E2"/>
      </top>
      <bottom style="thin">
        <color rgb="FFD2D9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E7A"/>
      <rgbColor rgb="FFC0C0C0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D2D9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6"/>
      <rgbColor rgb="FF969696"/>
      <rgbColor rgb="FF1F3A5F"/>
      <rgbColor rgb="FF339966"/>
      <rgbColor rgb="FF003300"/>
      <rgbColor rgb="FF1A1A1A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46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3" customFormat="false" ht="15" hidden="false" customHeight="false" outlineLevel="0" collapsed="false">
      <c r="A3" s="4" t="s">
        <v>2</v>
      </c>
      <c r="B3" s="5" t="s">
        <v>3</v>
      </c>
      <c r="C3" s="5" t="s">
        <v>4</v>
      </c>
      <c r="D3" s="4" t="s">
        <v>5</v>
      </c>
    </row>
    <row r="4" customFormat="false" ht="15" hidden="false" customHeight="false" outlineLevel="0" collapsed="false">
      <c r="A4" s="6" t="s">
        <v>6</v>
      </c>
      <c r="B4" s="7" t="n">
        <f aca="false">'Detailed BOQ'!F12</f>
        <v>377096310</v>
      </c>
      <c r="C4" s="8" t="n">
        <f aca="false">B4/$B$25</f>
        <v>0.0724655732908372</v>
      </c>
      <c r="D4" s="9" t="s">
        <v>7</v>
      </c>
    </row>
    <row r="5" customFormat="false" ht="15" hidden="false" customHeight="false" outlineLevel="0" collapsed="false">
      <c r="A5" s="6" t="s">
        <v>8</v>
      </c>
      <c r="B5" s="7" t="n">
        <f aca="false">'Detailed BOQ'!F25</f>
        <v>616199550</v>
      </c>
      <c r="C5" s="8" t="n">
        <f aca="false">B5/$B$25</f>
        <v>0.118413393258359</v>
      </c>
      <c r="D5" s="9" t="s">
        <v>9</v>
      </c>
    </row>
    <row r="6" customFormat="false" ht="15" hidden="false" customHeight="false" outlineLevel="0" collapsed="false">
      <c r="A6" s="6" t="s">
        <v>10</v>
      </c>
      <c r="B6" s="7" t="n">
        <f aca="false">'Detailed BOQ'!F34</f>
        <v>637545000</v>
      </c>
      <c r="C6" s="8" t="n">
        <f aca="false">B6/$B$25</f>
        <v>0.122515290387506</v>
      </c>
      <c r="D6" s="9" t="s">
        <v>7</v>
      </c>
    </row>
    <row r="7" customFormat="false" ht="15" hidden="false" customHeight="false" outlineLevel="0" collapsed="false">
      <c r="A7" s="6" t="s">
        <v>11</v>
      </c>
      <c r="B7" s="7" t="n">
        <f aca="false">'Detailed BOQ'!F40</f>
        <v>421106280</v>
      </c>
      <c r="C7" s="8" t="n">
        <f aca="false">B7/$B$25</f>
        <v>0.0809228496470088</v>
      </c>
      <c r="D7" s="9" t="s">
        <v>12</v>
      </c>
    </row>
    <row r="8" customFormat="false" ht="15" hidden="false" customHeight="false" outlineLevel="0" collapsed="false">
      <c r="A8" s="6" t="s">
        <v>13</v>
      </c>
      <c r="B8" s="7" t="n">
        <f aca="false">'Detailed BOQ'!F46</f>
        <v>146718000</v>
      </c>
      <c r="C8" s="8" t="n">
        <f aca="false">B8/$B$25</f>
        <v>0.0281943994150594</v>
      </c>
      <c r="D8" s="9" t="s">
        <v>12</v>
      </c>
    </row>
    <row r="9" customFormat="false" ht="15" hidden="false" customHeight="false" outlineLevel="0" collapsed="false">
      <c r="A9" s="6" t="s">
        <v>14</v>
      </c>
      <c r="B9" s="7" t="n">
        <f aca="false">'Detailed BOQ'!F54</f>
        <v>339989680</v>
      </c>
      <c r="C9" s="8" t="n">
        <f aca="false">B9/$B$25</f>
        <v>0.0653348930255199</v>
      </c>
      <c r="D9" s="9" t="s">
        <v>15</v>
      </c>
    </row>
    <row r="10" customFormat="false" ht="15" hidden="false" customHeight="false" outlineLevel="0" collapsed="false">
      <c r="A10" s="6" t="s">
        <v>16</v>
      </c>
      <c r="B10" s="7" t="n">
        <f aca="false">'Detailed BOQ'!F58</f>
        <v>99915770</v>
      </c>
      <c r="C10" s="8" t="n">
        <f aca="false">B10/$B$25</f>
        <v>0.0192005420414892</v>
      </c>
      <c r="D10" s="9" t="s">
        <v>17</v>
      </c>
    </row>
    <row r="11" customFormat="false" ht="15" hidden="false" customHeight="false" outlineLevel="0" collapsed="false">
      <c r="A11" s="6" t="s">
        <v>18</v>
      </c>
      <c r="B11" s="7" t="n">
        <f aca="false">'Detailed BOQ'!F70</f>
        <v>799684370</v>
      </c>
      <c r="C11" s="8" t="n">
        <f aca="false">B11/$B$25</f>
        <v>0.153673172574327</v>
      </c>
      <c r="D11" s="9" t="s">
        <v>19</v>
      </c>
    </row>
    <row r="12" customFormat="false" ht="15" hidden="false" customHeight="false" outlineLevel="0" collapsed="false">
      <c r="A12" s="6" t="s">
        <v>20</v>
      </c>
      <c r="B12" s="7" t="n">
        <f aca="false">'Detailed BOQ'!F77</f>
        <v>543934690</v>
      </c>
      <c r="C12" s="8" t="n">
        <f aca="false">B12/$B$25</f>
        <v>0.10452645146176</v>
      </c>
      <c r="D12" s="9" t="s">
        <v>21</v>
      </c>
    </row>
    <row r="13" customFormat="false" ht="15" hidden="false" customHeight="false" outlineLevel="0" collapsed="false">
      <c r="A13" s="6" t="s">
        <v>22</v>
      </c>
      <c r="B13" s="7" t="n">
        <f aca="false">'Detailed BOQ'!F86</f>
        <v>81910350</v>
      </c>
      <c r="C13" s="8" t="n">
        <f aca="false">B13/$B$25</f>
        <v>0.0157404894023045</v>
      </c>
      <c r="D13" s="9" t="s">
        <v>7</v>
      </c>
    </row>
    <row r="14" customFormat="false" ht="15" hidden="false" customHeight="false" outlineLevel="0" collapsed="false">
      <c r="A14" s="10" t="s">
        <v>23</v>
      </c>
      <c r="B14" s="11" t="n">
        <f aca="false">'Detailed BOQ'!F87</f>
        <v>4064100000</v>
      </c>
      <c r="C14" s="12" t="n">
        <f aca="false">B14/$B$25</f>
        <v>0.780987054504171</v>
      </c>
      <c r="D14" s="13" t="s">
        <v>24</v>
      </c>
    </row>
    <row r="16" customFormat="false" ht="15" hidden="false" customHeight="false" outlineLevel="0" collapsed="false">
      <c r="A16" s="14" t="s">
        <v>25</v>
      </c>
      <c r="B16" s="15"/>
      <c r="C16" s="15"/>
      <c r="D16" s="15"/>
    </row>
    <row r="17" customFormat="false" ht="15" hidden="false" customHeight="false" outlineLevel="0" collapsed="false">
      <c r="A17" s="6" t="s">
        <v>26</v>
      </c>
      <c r="B17" s="7" t="n">
        <f aca="false">B14</f>
        <v>4064100000</v>
      </c>
      <c r="C17" s="8" t="n">
        <f aca="false">B17/$B$25</f>
        <v>0.780987054504171</v>
      </c>
      <c r="D17" s="9" t="s">
        <v>24</v>
      </c>
    </row>
    <row r="18" customFormat="false" ht="23.85" hidden="false" customHeight="false" outlineLevel="0" collapsed="false">
      <c r="A18" s="16" t="s">
        <v>27</v>
      </c>
      <c r="B18" s="7" t="n">
        <f aca="false">0.02*B17</f>
        <v>81282000</v>
      </c>
      <c r="C18" s="8" t="n">
        <f aca="false">B18/$B$25</f>
        <v>0.0156197410900834</v>
      </c>
      <c r="D18" s="9" t="s">
        <v>28</v>
      </c>
    </row>
    <row r="19" customFormat="false" ht="23.85" hidden="false" customHeight="false" outlineLevel="0" collapsed="false">
      <c r="A19" s="16" t="s">
        <v>29</v>
      </c>
      <c r="B19" s="17" t="n">
        <v>16849500</v>
      </c>
      <c r="C19" s="8" t="n">
        <f aca="false">B19/$B$25</f>
        <v>0.00323792263351493</v>
      </c>
      <c r="D19" s="9" t="s">
        <v>30</v>
      </c>
    </row>
    <row r="20" customFormat="false" ht="15" hidden="false" customHeight="false" outlineLevel="0" collapsed="false">
      <c r="A20" s="16" t="s">
        <v>31</v>
      </c>
      <c r="B20" s="7" t="n">
        <f aca="false">0.12*(B17+B18+B19)</f>
        <v>499467780</v>
      </c>
      <c r="C20" s="8" t="n">
        <f aca="false">B20/$B$25</f>
        <v>0.0959813661873323</v>
      </c>
      <c r="D20" s="9" t="s">
        <v>32</v>
      </c>
    </row>
    <row r="21" customFormat="false" ht="15" hidden="false" customHeight="false" outlineLevel="0" collapsed="false">
      <c r="A21" s="10" t="s">
        <v>33</v>
      </c>
      <c r="B21" s="11" t="n">
        <f aca="false">B17+B18+B19+B20</f>
        <v>4661699280</v>
      </c>
      <c r="C21" s="12" t="n">
        <f aca="false">B21/$B$25</f>
        <v>0.895826084415101</v>
      </c>
      <c r="D21" s="13"/>
    </row>
    <row r="22" customFormat="false" ht="23.85" hidden="false" customHeight="false" outlineLevel="0" collapsed="false">
      <c r="A22" s="16" t="s">
        <v>34</v>
      </c>
      <c r="B22" s="17" t="n">
        <v>163020000</v>
      </c>
      <c r="C22" s="8" t="n">
        <f aca="false">B22/$B$25</f>
        <v>0.0313271104611771</v>
      </c>
      <c r="D22" s="9" t="s">
        <v>35</v>
      </c>
    </row>
    <row r="23" customFormat="false" ht="23.85" hidden="false" customHeight="false" outlineLevel="0" collapsed="false">
      <c r="A23" s="16" t="s">
        <v>36</v>
      </c>
      <c r="B23" s="17" t="n">
        <v>360537467</v>
      </c>
      <c r="C23" s="8" t="n">
        <f aca="false">B23/$B$25</f>
        <v>0.0692835054232732</v>
      </c>
      <c r="D23" s="9" t="s">
        <v>37</v>
      </c>
    </row>
    <row r="24" customFormat="false" ht="15" hidden="false" customHeight="false" outlineLevel="0" collapsed="false">
      <c r="A24" s="16" t="s">
        <v>38</v>
      </c>
      <c r="B24" s="17" t="n">
        <v>18542697</v>
      </c>
      <c r="C24" s="8" t="n">
        <f aca="false">B24/$B$25</f>
        <v>0.00356329970044864</v>
      </c>
      <c r="D24" s="9" t="s">
        <v>39</v>
      </c>
    </row>
    <row r="25" customFormat="false" ht="15" hidden="false" customHeight="false" outlineLevel="0" collapsed="false">
      <c r="A25" s="10" t="s">
        <v>40</v>
      </c>
      <c r="B25" s="11" t="n">
        <f aca="false">B21+B22+B23+B24</f>
        <v>5203799444</v>
      </c>
      <c r="C25" s="12" t="n">
        <f aca="false">B25/$B$25</f>
        <v>1</v>
      </c>
      <c r="D25" s="13"/>
    </row>
    <row r="26" customFormat="false" ht="15" hidden="false" customHeight="false" outlineLevel="0" collapsed="false">
      <c r="A26" s="16" t="s">
        <v>41</v>
      </c>
      <c r="B26" s="17" t="n">
        <v>1650000000</v>
      </c>
      <c r="C26" s="8" t="n">
        <f aca="false">B26/$B$25</f>
        <v>0.317076016813533</v>
      </c>
      <c r="D26" s="9" t="s">
        <v>42</v>
      </c>
    </row>
    <row r="27" customFormat="false" ht="15" hidden="false" customHeight="false" outlineLevel="0" collapsed="false">
      <c r="A27" s="10" t="s">
        <v>43</v>
      </c>
      <c r="B27" s="18" t="n">
        <f aca="false">B25+B26</f>
        <v>6853799444</v>
      </c>
      <c r="C27" s="12" t="n">
        <f aca="false">100%</f>
        <v>1</v>
      </c>
      <c r="D27" s="13"/>
    </row>
    <row r="28" customFormat="false" ht="15" hidden="false" customHeight="false" outlineLevel="0" collapsed="false">
      <c r="A28" s="16" t="s">
        <v>44</v>
      </c>
      <c r="B28" s="17" t="n">
        <v>120000000</v>
      </c>
      <c r="C28" s="19"/>
      <c r="D28" s="9"/>
    </row>
    <row r="29" customFormat="false" ht="15" hidden="false" customHeight="false" outlineLevel="0" collapsed="false">
      <c r="A29" s="4" t="s">
        <v>45</v>
      </c>
      <c r="B29" s="20" t="n">
        <f aca="false">B27+B28</f>
        <v>6973799444</v>
      </c>
      <c r="C29" s="2"/>
      <c r="D29" s="2"/>
    </row>
    <row r="31" customFormat="false" ht="15" hidden="false" customHeight="false" outlineLevel="0" collapsed="false">
      <c r="A31" s="14" t="s">
        <v>46</v>
      </c>
      <c r="B31" s="15"/>
      <c r="C31" s="15"/>
      <c r="D31" s="15"/>
    </row>
    <row r="32" customFormat="false" ht="15" hidden="false" customHeight="false" outlineLevel="0" collapsed="false">
      <c r="A32" s="16" t="s">
        <v>47</v>
      </c>
      <c r="B32" s="7" t="n">
        <f aca="false">B29-B26</f>
        <v>5323799444</v>
      </c>
      <c r="C32" s="19"/>
      <c r="D32" s="9"/>
    </row>
    <row r="33" customFormat="false" ht="15" hidden="false" customHeight="false" outlineLevel="0" collapsed="false">
      <c r="A33" s="16" t="s">
        <v>48</v>
      </c>
      <c r="B33" s="7" t="n">
        <f aca="false">0.75*B32</f>
        <v>3992849583</v>
      </c>
      <c r="C33" s="19"/>
      <c r="D33" s="9"/>
    </row>
    <row r="34" customFormat="false" ht="15" hidden="false" customHeight="false" outlineLevel="0" collapsed="false">
      <c r="A34" s="16" t="s">
        <v>49</v>
      </c>
      <c r="B34" s="7" t="n">
        <f aca="false">B26</f>
        <v>1650000000</v>
      </c>
      <c r="C34" s="19"/>
      <c r="D34" s="9"/>
    </row>
    <row r="35" customFormat="false" ht="15" hidden="false" customHeight="false" outlineLevel="0" collapsed="false">
      <c r="A35" s="16" t="s">
        <v>50</v>
      </c>
      <c r="B35" s="7" t="n">
        <f aca="false">0.25*B32</f>
        <v>1330949861</v>
      </c>
      <c r="C35" s="19"/>
      <c r="D35" s="9"/>
    </row>
    <row r="36" customFormat="false" ht="15" hidden="false" customHeight="false" outlineLevel="0" collapsed="false">
      <c r="A36" s="4" t="s">
        <v>51</v>
      </c>
      <c r="B36" s="20" t="n">
        <f aca="false">B33+B26+B35</f>
        <v>6973799444</v>
      </c>
      <c r="C36" s="2"/>
      <c r="D36" s="2"/>
    </row>
    <row r="37" customFormat="false" ht="15" hidden="false" customHeight="false" outlineLevel="0" collapsed="false">
      <c r="A37" s="6" t="s">
        <v>52</v>
      </c>
      <c r="B37" s="7" t="n">
        <f aca="false">B36-B29</f>
        <v>0</v>
      </c>
      <c r="C37" s="19"/>
      <c r="D37" s="9" t="s">
        <v>53</v>
      </c>
    </row>
    <row r="39" customFormat="false" ht="15" hidden="false" customHeight="false" outlineLevel="0" collapsed="false">
      <c r="A39" s="16" t="s">
        <v>54</v>
      </c>
      <c r="B39" s="17" t="n">
        <v>629311210</v>
      </c>
      <c r="C39" s="19"/>
      <c r="D39" s="9"/>
    </row>
    <row r="40" customFormat="false" ht="15" hidden="false" customHeight="false" outlineLevel="0" collapsed="false">
      <c r="A40" s="16" t="s">
        <v>55</v>
      </c>
      <c r="B40" s="7" t="n">
        <f aca="false">B27/160</f>
        <v>42836246.525</v>
      </c>
      <c r="C40" s="19"/>
      <c r="D40" s="9" t="s">
        <v>56</v>
      </c>
    </row>
    <row r="41" customFormat="false" ht="15" hidden="false" customHeight="false" outlineLevel="0" collapsed="false">
      <c r="A41" s="16" t="s">
        <v>57</v>
      </c>
      <c r="B41" s="17" t="n">
        <v>181317</v>
      </c>
      <c r="C41" s="19"/>
      <c r="D41" s="9" t="s">
        <v>58</v>
      </c>
    </row>
    <row r="42" customFormat="false" ht="15" hidden="false" customHeight="false" outlineLevel="0" collapsed="false">
      <c r="A42" s="16" t="s">
        <v>59</v>
      </c>
      <c r="B42" s="17" t="n">
        <v>259025</v>
      </c>
      <c r="C42" s="19"/>
      <c r="D42" s="9" t="s">
        <v>60</v>
      </c>
    </row>
    <row r="44" customFormat="false" ht="42" hidden="false" customHeight="true" outlineLevel="0" collapsed="false">
      <c r="A44" s="3" t="s">
        <v>61</v>
      </c>
      <c r="B44" s="3"/>
      <c r="C44" s="3"/>
      <c r="D44" s="3"/>
    </row>
  </sheetData>
  <mergeCells count="2">
    <mergeCell ref="A2:D2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7"/>
  </cols>
  <sheetData>
    <row r="1" customFormat="false" ht="16.15" hidden="false" customHeight="false" outlineLevel="0" collapsed="false">
      <c r="A1" s="1" t="s">
        <v>62</v>
      </c>
      <c r="B1" s="2"/>
      <c r="C1" s="2"/>
      <c r="D1" s="2"/>
      <c r="E1" s="2"/>
      <c r="F1" s="2"/>
    </row>
    <row r="2" customFormat="false" ht="179.1" hidden="false" customHeight="false" outlineLevel="0" collapsed="false">
      <c r="A2" s="3" t="s">
        <v>63</v>
      </c>
    </row>
    <row r="3" customFormat="false" ht="15" hidden="false" customHeight="false" outlineLevel="0" collapsed="false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3</v>
      </c>
    </row>
    <row r="4" customFormat="false" ht="15" hidden="false" customHeight="false" outlineLevel="0" collapsed="false">
      <c r="A4" s="14" t="s">
        <v>69</v>
      </c>
      <c r="B4" s="14" t="s">
        <v>70</v>
      </c>
      <c r="C4" s="15"/>
      <c r="D4" s="15"/>
      <c r="E4" s="15"/>
      <c r="F4" s="15"/>
    </row>
    <row r="5" customFormat="false" ht="15" hidden="false" customHeight="false" outlineLevel="0" collapsed="false">
      <c r="A5" s="19" t="s">
        <v>71</v>
      </c>
      <c r="B5" s="16" t="s">
        <v>72</v>
      </c>
      <c r="C5" s="19" t="s">
        <v>73</v>
      </c>
      <c r="D5" s="21" t="n">
        <v>1</v>
      </c>
      <c r="E5" s="17" t="n">
        <v>40021990</v>
      </c>
      <c r="F5" s="22" t="n">
        <f aca="false">D5*E5</f>
        <v>40021990</v>
      </c>
    </row>
    <row r="6" customFormat="false" ht="15" hidden="false" customHeight="false" outlineLevel="0" collapsed="false">
      <c r="A6" s="19" t="s">
        <v>74</v>
      </c>
      <c r="B6" s="16" t="s">
        <v>75</v>
      </c>
      <c r="C6" s="19" t="s">
        <v>76</v>
      </c>
      <c r="D6" s="21" t="n">
        <v>36</v>
      </c>
      <c r="E6" s="17" t="n">
        <v>4002200</v>
      </c>
      <c r="F6" s="22" t="n">
        <f aca="false">D6*E6</f>
        <v>144079200</v>
      </c>
    </row>
    <row r="7" customFormat="false" ht="15" hidden="false" customHeight="false" outlineLevel="0" collapsed="false">
      <c r="A7" s="19" t="s">
        <v>77</v>
      </c>
      <c r="B7" s="16" t="s">
        <v>78</v>
      </c>
      <c r="C7" s="19" t="s">
        <v>73</v>
      </c>
      <c r="D7" s="21" t="n">
        <v>1</v>
      </c>
      <c r="E7" s="17" t="n">
        <v>48915770</v>
      </c>
      <c r="F7" s="22" t="n">
        <f aca="false">D7*E7</f>
        <v>48915770</v>
      </c>
    </row>
    <row r="8" customFormat="false" ht="15" hidden="false" customHeight="false" outlineLevel="0" collapsed="false">
      <c r="A8" s="19" t="s">
        <v>79</v>
      </c>
      <c r="B8" s="16" t="s">
        <v>80</v>
      </c>
      <c r="C8" s="19" t="s">
        <v>73</v>
      </c>
      <c r="D8" s="21" t="n">
        <v>1</v>
      </c>
      <c r="E8" s="17" t="n">
        <v>26681330</v>
      </c>
      <c r="F8" s="22" t="n">
        <f aca="false">D8*E8</f>
        <v>26681330</v>
      </c>
    </row>
    <row r="9" customFormat="false" ht="15" hidden="false" customHeight="false" outlineLevel="0" collapsed="false">
      <c r="A9" s="19" t="s">
        <v>81</v>
      </c>
      <c r="B9" s="16" t="s">
        <v>82</v>
      </c>
      <c r="C9" s="19" t="s">
        <v>73</v>
      </c>
      <c r="D9" s="21" t="n">
        <v>1</v>
      </c>
      <c r="E9" s="17" t="n">
        <v>31128220</v>
      </c>
      <c r="F9" s="22" t="n">
        <f aca="false">D9*E9</f>
        <v>31128220</v>
      </c>
    </row>
    <row r="10" customFormat="false" ht="15" hidden="false" customHeight="false" outlineLevel="0" collapsed="false">
      <c r="A10" s="19" t="s">
        <v>83</v>
      </c>
      <c r="B10" s="16" t="s">
        <v>84</v>
      </c>
      <c r="C10" s="19" t="s">
        <v>76</v>
      </c>
      <c r="D10" s="21" t="n">
        <v>36</v>
      </c>
      <c r="E10" s="17" t="n">
        <v>1778760</v>
      </c>
      <c r="F10" s="22" t="n">
        <f aca="false">D10*E10</f>
        <v>64035360</v>
      </c>
    </row>
    <row r="11" customFormat="false" ht="15" hidden="false" customHeight="false" outlineLevel="0" collapsed="false">
      <c r="A11" s="19" t="s">
        <v>85</v>
      </c>
      <c r="B11" s="16" t="s">
        <v>86</v>
      </c>
      <c r="C11" s="19" t="s">
        <v>73</v>
      </c>
      <c r="D11" s="21" t="n">
        <v>1</v>
      </c>
      <c r="E11" s="17" t="n">
        <v>22234440</v>
      </c>
      <c r="F11" s="22" t="n">
        <f aca="false">D11*E11</f>
        <v>22234440</v>
      </c>
    </row>
    <row r="12" customFormat="false" ht="15" hidden="false" customHeight="false" outlineLevel="0" collapsed="false">
      <c r="A12" s="13"/>
      <c r="B12" s="10" t="s">
        <v>87</v>
      </c>
      <c r="C12" s="13"/>
      <c r="D12" s="13"/>
      <c r="E12" s="13"/>
      <c r="F12" s="11" t="n">
        <f aca="false">SUM(F5:F11)</f>
        <v>377096310</v>
      </c>
    </row>
    <row r="13" customFormat="false" ht="15" hidden="false" customHeight="false" outlineLevel="0" collapsed="false">
      <c r="A13" s="14" t="s">
        <v>88</v>
      </c>
      <c r="B13" s="14" t="s">
        <v>89</v>
      </c>
      <c r="C13" s="15"/>
      <c r="D13" s="15"/>
      <c r="E13" s="15"/>
      <c r="F13" s="15"/>
    </row>
    <row r="14" customFormat="false" ht="15" hidden="false" customHeight="false" outlineLevel="0" collapsed="false">
      <c r="A14" s="19" t="s">
        <v>90</v>
      </c>
      <c r="B14" s="16" t="s">
        <v>91</v>
      </c>
      <c r="C14" s="19" t="s">
        <v>92</v>
      </c>
      <c r="D14" s="21" t="n">
        <v>5000</v>
      </c>
      <c r="E14" s="17" t="n">
        <v>360</v>
      </c>
      <c r="F14" s="22" t="n">
        <f aca="false">D14*E14</f>
        <v>1800000</v>
      </c>
    </row>
    <row r="15" customFormat="false" ht="15" hidden="false" customHeight="false" outlineLevel="0" collapsed="false">
      <c r="A15" s="19" t="s">
        <v>93</v>
      </c>
      <c r="B15" s="16" t="s">
        <v>94</v>
      </c>
      <c r="C15" s="19" t="s">
        <v>95</v>
      </c>
      <c r="D15" s="21" t="n">
        <v>42000</v>
      </c>
      <c r="E15" s="17" t="n">
        <v>1070</v>
      </c>
      <c r="F15" s="22" t="n">
        <f aca="false">D15*E15</f>
        <v>44940000</v>
      </c>
    </row>
    <row r="16" customFormat="false" ht="15" hidden="false" customHeight="false" outlineLevel="0" collapsed="false">
      <c r="A16" s="19" t="s">
        <v>96</v>
      </c>
      <c r="B16" s="16" t="s">
        <v>97</v>
      </c>
      <c r="C16" s="19" t="s">
        <v>92</v>
      </c>
      <c r="D16" s="21" t="n">
        <v>3600</v>
      </c>
      <c r="E16" s="17" t="n">
        <v>24900</v>
      </c>
      <c r="F16" s="22" t="n">
        <f aca="false">D16*E16</f>
        <v>89640000</v>
      </c>
    </row>
    <row r="17" customFormat="false" ht="15" hidden="false" customHeight="false" outlineLevel="0" collapsed="false">
      <c r="A17" s="19" t="s">
        <v>98</v>
      </c>
      <c r="B17" s="16" t="s">
        <v>99</v>
      </c>
      <c r="C17" s="19" t="s">
        <v>73</v>
      </c>
      <c r="D17" s="21" t="n">
        <v>1</v>
      </c>
      <c r="E17" s="17" t="n">
        <v>35575110</v>
      </c>
      <c r="F17" s="22" t="n">
        <f aca="false">D17*E17</f>
        <v>35575110</v>
      </c>
    </row>
    <row r="18" customFormat="false" ht="15" hidden="false" customHeight="false" outlineLevel="0" collapsed="false">
      <c r="A18" s="19" t="s">
        <v>100</v>
      </c>
      <c r="B18" s="16" t="s">
        <v>101</v>
      </c>
      <c r="C18" s="19" t="s">
        <v>95</v>
      </c>
      <c r="D18" s="21" t="n">
        <v>42000</v>
      </c>
      <c r="E18" s="17" t="n">
        <v>620</v>
      </c>
      <c r="F18" s="22" t="n">
        <f aca="false">D18*E18</f>
        <v>26040000</v>
      </c>
    </row>
    <row r="19" customFormat="false" ht="15" hidden="false" customHeight="false" outlineLevel="0" collapsed="false">
      <c r="A19" s="19" t="s">
        <v>102</v>
      </c>
      <c r="B19" s="16" t="s">
        <v>103</v>
      </c>
      <c r="C19" s="19" t="s">
        <v>92</v>
      </c>
      <c r="D19" s="21" t="n">
        <v>3000</v>
      </c>
      <c r="E19" s="17" t="n">
        <v>2220</v>
      </c>
      <c r="F19" s="22" t="n">
        <f aca="false">D19*E19</f>
        <v>6660000</v>
      </c>
    </row>
    <row r="20" customFormat="false" ht="15" hidden="false" customHeight="false" outlineLevel="0" collapsed="false">
      <c r="A20" s="19" t="s">
        <v>104</v>
      </c>
      <c r="B20" s="16" t="s">
        <v>105</v>
      </c>
      <c r="C20" s="19" t="s">
        <v>95</v>
      </c>
      <c r="D20" s="21" t="n">
        <v>3600</v>
      </c>
      <c r="E20" s="17" t="n">
        <v>28460</v>
      </c>
      <c r="F20" s="22" t="n">
        <f aca="false">D20*E20</f>
        <v>102456000</v>
      </c>
    </row>
    <row r="21" customFormat="false" ht="15" hidden="false" customHeight="false" outlineLevel="0" collapsed="false">
      <c r="A21" s="19" t="s">
        <v>106</v>
      </c>
      <c r="B21" s="16" t="s">
        <v>107</v>
      </c>
      <c r="C21" s="19" t="s">
        <v>95</v>
      </c>
      <c r="D21" s="21" t="n">
        <v>2400</v>
      </c>
      <c r="E21" s="17" t="n">
        <v>30240</v>
      </c>
      <c r="F21" s="22" t="n">
        <f aca="false">D21*E21</f>
        <v>72576000</v>
      </c>
    </row>
    <row r="22" customFormat="false" ht="15" hidden="false" customHeight="false" outlineLevel="0" collapsed="false">
      <c r="A22" s="19" t="s">
        <v>108</v>
      </c>
      <c r="B22" s="16" t="s">
        <v>109</v>
      </c>
      <c r="C22" s="19" t="s">
        <v>92</v>
      </c>
      <c r="D22" s="21" t="n">
        <v>9000</v>
      </c>
      <c r="E22" s="17" t="n">
        <v>19570</v>
      </c>
      <c r="F22" s="22" t="n">
        <f aca="false">D22*E22</f>
        <v>176130000</v>
      </c>
    </row>
    <row r="23" customFormat="false" ht="15" hidden="false" customHeight="false" outlineLevel="0" collapsed="false">
      <c r="A23" s="19" t="s">
        <v>110</v>
      </c>
      <c r="B23" s="16" t="s">
        <v>111</v>
      </c>
      <c r="C23" s="19" t="s">
        <v>92</v>
      </c>
      <c r="D23" s="21" t="n">
        <v>6600</v>
      </c>
      <c r="E23" s="17" t="n">
        <v>5780</v>
      </c>
      <c r="F23" s="22" t="n">
        <f aca="false">D23*E23</f>
        <v>38148000</v>
      </c>
    </row>
    <row r="24" customFormat="false" ht="15" hidden="false" customHeight="false" outlineLevel="0" collapsed="false">
      <c r="A24" s="19" t="s">
        <v>112</v>
      </c>
      <c r="B24" s="16" t="s">
        <v>113</v>
      </c>
      <c r="C24" s="19" t="s">
        <v>73</v>
      </c>
      <c r="D24" s="21" t="n">
        <v>1</v>
      </c>
      <c r="E24" s="17" t="n">
        <v>22234440</v>
      </c>
      <c r="F24" s="22" t="n">
        <f aca="false">D24*E24</f>
        <v>22234440</v>
      </c>
    </row>
    <row r="25" customFormat="false" ht="15" hidden="false" customHeight="false" outlineLevel="0" collapsed="false">
      <c r="A25" s="13"/>
      <c r="B25" s="10" t="s">
        <v>114</v>
      </c>
      <c r="C25" s="13"/>
      <c r="D25" s="13"/>
      <c r="E25" s="13"/>
      <c r="F25" s="11" t="n">
        <f aca="false">SUM(F14:F24)</f>
        <v>616199550</v>
      </c>
    </row>
    <row r="26" customFormat="false" ht="15" hidden="false" customHeight="false" outlineLevel="0" collapsed="false">
      <c r="A26" s="14" t="s">
        <v>115</v>
      </c>
      <c r="B26" s="14" t="s">
        <v>116</v>
      </c>
      <c r="C26" s="15"/>
      <c r="D26" s="15"/>
      <c r="E26" s="15"/>
      <c r="F26" s="15"/>
    </row>
    <row r="27" customFormat="false" ht="15" hidden="false" customHeight="false" outlineLevel="0" collapsed="false">
      <c r="A27" s="19" t="s">
        <v>117</v>
      </c>
      <c r="B27" s="16" t="s">
        <v>118</v>
      </c>
      <c r="C27" s="19" t="s">
        <v>95</v>
      </c>
      <c r="D27" s="21" t="n">
        <v>3200</v>
      </c>
      <c r="E27" s="17" t="n">
        <v>26680</v>
      </c>
      <c r="F27" s="22" t="n">
        <f aca="false">D27*E27</f>
        <v>85376000</v>
      </c>
    </row>
    <row r="28" customFormat="false" ht="15" hidden="false" customHeight="false" outlineLevel="0" collapsed="false">
      <c r="A28" s="19" t="s">
        <v>119</v>
      </c>
      <c r="B28" s="16" t="s">
        <v>120</v>
      </c>
      <c r="C28" s="19" t="s">
        <v>95</v>
      </c>
      <c r="D28" s="21" t="n">
        <v>4000</v>
      </c>
      <c r="E28" s="17" t="n">
        <v>25790</v>
      </c>
      <c r="F28" s="22" t="n">
        <f aca="false">D28*E28</f>
        <v>103160000</v>
      </c>
    </row>
    <row r="29" customFormat="false" ht="15" hidden="false" customHeight="false" outlineLevel="0" collapsed="false">
      <c r="A29" s="19" t="s">
        <v>121</v>
      </c>
      <c r="B29" s="16" t="s">
        <v>122</v>
      </c>
      <c r="C29" s="19" t="s">
        <v>95</v>
      </c>
      <c r="D29" s="21" t="n">
        <v>900</v>
      </c>
      <c r="E29" s="17" t="n">
        <v>40020</v>
      </c>
      <c r="F29" s="22" t="n">
        <f aca="false">D29*E29</f>
        <v>36018000</v>
      </c>
    </row>
    <row r="30" customFormat="false" ht="15" hidden="false" customHeight="false" outlineLevel="0" collapsed="false">
      <c r="A30" s="19" t="s">
        <v>123</v>
      </c>
      <c r="B30" s="16" t="s">
        <v>124</v>
      </c>
      <c r="C30" s="19" t="s">
        <v>92</v>
      </c>
      <c r="D30" s="21" t="n">
        <v>28800</v>
      </c>
      <c r="E30" s="17" t="n">
        <v>12450</v>
      </c>
      <c r="F30" s="22" t="n">
        <f aca="false">D30*E30</f>
        <v>358560000</v>
      </c>
    </row>
    <row r="31" customFormat="false" ht="15" hidden="false" customHeight="false" outlineLevel="0" collapsed="false">
      <c r="A31" s="19" t="s">
        <v>125</v>
      </c>
      <c r="B31" s="16" t="s">
        <v>126</v>
      </c>
      <c r="C31" s="19" t="s">
        <v>92</v>
      </c>
      <c r="D31" s="21" t="n">
        <v>1200</v>
      </c>
      <c r="E31" s="17" t="n">
        <v>13340</v>
      </c>
      <c r="F31" s="22" t="n">
        <f aca="false">D31*E31</f>
        <v>16008000</v>
      </c>
    </row>
    <row r="32" customFormat="false" ht="15" hidden="false" customHeight="false" outlineLevel="0" collapsed="false">
      <c r="A32" s="19" t="s">
        <v>127</v>
      </c>
      <c r="B32" s="16" t="s">
        <v>128</v>
      </c>
      <c r="C32" s="19" t="s">
        <v>92</v>
      </c>
      <c r="D32" s="21" t="n">
        <v>1600</v>
      </c>
      <c r="E32" s="17" t="n">
        <v>16010</v>
      </c>
      <c r="F32" s="22" t="n">
        <f aca="false">D32*E32</f>
        <v>25616000</v>
      </c>
    </row>
    <row r="33" customFormat="false" ht="15" hidden="false" customHeight="false" outlineLevel="0" collapsed="false">
      <c r="A33" s="19" t="s">
        <v>129</v>
      </c>
      <c r="B33" s="16" t="s">
        <v>130</v>
      </c>
      <c r="C33" s="19" t="s">
        <v>92</v>
      </c>
      <c r="D33" s="21" t="n">
        <v>900</v>
      </c>
      <c r="E33" s="17" t="n">
        <v>14230</v>
      </c>
      <c r="F33" s="22" t="n">
        <f aca="false">D33*E33</f>
        <v>12807000</v>
      </c>
    </row>
    <row r="34" customFormat="false" ht="15" hidden="false" customHeight="false" outlineLevel="0" collapsed="false">
      <c r="A34" s="13"/>
      <c r="B34" s="10" t="s">
        <v>131</v>
      </c>
      <c r="C34" s="13"/>
      <c r="D34" s="13"/>
      <c r="E34" s="13"/>
      <c r="F34" s="11" t="n">
        <f aca="false">SUM(F27:F33)</f>
        <v>637545000</v>
      </c>
    </row>
    <row r="35" customFormat="false" ht="15" hidden="false" customHeight="false" outlineLevel="0" collapsed="false">
      <c r="A35" s="14" t="s">
        <v>132</v>
      </c>
      <c r="B35" s="14" t="s">
        <v>133</v>
      </c>
      <c r="C35" s="15"/>
      <c r="D35" s="15"/>
      <c r="E35" s="15"/>
      <c r="F35" s="15"/>
    </row>
    <row r="36" customFormat="false" ht="15" hidden="false" customHeight="false" outlineLevel="0" collapsed="false">
      <c r="A36" s="19" t="s">
        <v>134</v>
      </c>
      <c r="B36" s="16" t="s">
        <v>135</v>
      </c>
      <c r="C36" s="19" t="s">
        <v>92</v>
      </c>
      <c r="D36" s="21" t="n">
        <v>8500</v>
      </c>
      <c r="E36" s="17" t="n">
        <v>28460</v>
      </c>
      <c r="F36" s="22" t="n">
        <f aca="false">D36*E36</f>
        <v>241910000</v>
      </c>
    </row>
    <row r="37" customFormat="false" ht="15" hidden="false" customHeight="false" outlineLevel="0" collapsed="false">
      <c r="A37" s="19" t="s">
        <v>136</v>
      </c>
      <c r="B37" s="16" t="s">
        <v>137</v>
      </c>
      <c r="C37" s="19" t="s">
        <v>92</v>
      </c>
      <c r="D37" s="21" t="n">
        <v>3500</v>
      </c>
      <c r="E37" s="17" t="n">
        <v>40020</v>
      </c>
      <c r="F37" s="22" t="n">
        <f aca="false">D37*E37</f>
        <v>140070000</v>
      </c>
    </row>
    <row r="38" customFormat="false" ht="15" hidden="false" customHeight="false" outlineLevel="0" collapsed="false">
      <c r="A38" s="19" t="s">
        <v>138</v>
      </c>
      <c r="B38" s="16" t="s">
        <v>139</v>
      </c>
      <c r="C38" s="19" t="s">
        <v>92</v>
      </c>
      <c r="D38" s="21" t="n">
        <v>2500</v>
      </c>
      <c r="E38" s="17" t="n">
        <v>10670</v>
      </c>
      <c r="F38" s="22" t="n">
        <f aca="false">D38*E38</f>
        <v>26675000</v>
      </c>
    </row>
    <row r="39" customFormat="false" ht="15" hidden="false" customHeight="false" outlineLevel="0" collapsed="false">
      <c r="A39" s="19" t="s">
        <v>140</v>
      </c>
      <c r="B39" s="16" t="s">
        <v>141</v>
      </c>
      <c r="C39" s="19" t="s">
        <v>142</v>
      </c>
      <c r="D39" s="21" t="n">
        <v>4</v>
      </c>
      <c r="E39" s="17" t="n">
        <v>3112820</v>
      </c>
      <c r="F39" s="22" t="n">
        <f aca="false">D39*E39</f>
        <v>12451280</v>
      </c>
    </row>
    <row r="40" customFormat="false" ht="15" hidden="false" customHeight="false" outlineLevel="0" collapsed="false">
      <c r="A40" s="13"/>
      <c r="B40" s="10" t="s">
        <v>143</v>
      </c>
      <c r="C40" s="13"/>
      <c r="D40" s="13"/>
      <c r="E40" s="13"/>
      <c r="F40" s="11" t="n">
        <f aca="false">SUM(F36:F39)</f>
        <v>421106280</v>
      </c>
    </row>
    <row r="41" customFormat="false" ht="15" hidden="false" customHeight="false" outlineLevel="0" collapsed="false">
      <c r="A41" s="14" t="s">
        <v>144</v>
      </c>
      <c r="B41" s="14" t="s">
        <v>145</v>
      </c>
      <c r="C41" s="15"/>
      <c r="D41" s="15"/>
      <c r="E41" s="15"/>
      <c r="F41" s="15"/>
    </row>
    <row r="42" customFormat="false" ht="15" hidden="false" customHeight="false" outlineLevel="0" collapsed="false">
      <c r="A42" s="19" t="s">
        <v>146</v>
      </c>
      <c r="B42" s="16" t="s">
        <v>147</v>
      </c>
      <c r="C42" s="19" t="s">
        <v>92</v>
      </c>
      <c r="D42" s="21" t="n">
        <v>22000</v>
      </c>
      <c r="E42" s="17" t="n">
        <v>2850</v>
      </c>
      <c r="F42" s="22" t="n">
        <f aca="false">D42*E42</f>
        <v>62700000</v>
      </c>
    </row>
    <row r="43" customFormat="false" ht="15" hidden="false" customHeight="false" outlineLevel="0" collapsed="false">
      <c r="A43" s="19" t="s">
        <v>148</v>
      </c>
      <c r="B43" s="16" t="s">
        <v>149</v>
      </c>
      <c r="C43" s="19" t="s">
        <v>92</v>
      </c>
      <c r="D43" s="21" t="n">
        <v>6000</v>
      </c>
      <c r="E43" s="17" t="n">
        <v>4000</v>
      </c>
      <c r="F43" s="22" t="n">
        <f aca="false">D43*E43</f>
        <v>24000000</v>
      </c>
    </row>
    <row r="44" customFormat="false" ht="15" hidden="false" customHeight="false" outlineLevel="0" collapsed="false">
      <c r="A44" s="19" t="s">
        <v>150</v>
      </c>
      <c r="B44" s="16" t="s">
        <v>151</v>
      </c>
      <c r="C44" s="19" t="s">
        <v>92</v>
      </c>
      <c r="D44" s="21" t="n">
        <v>3000</v>
      </c>
      <c r="E44" s="17" t="n">
        <v>8000</v>
      </c>
      <c r="F44" s="22" t="n">
        <f aca="false">D44*E44</f>
        <v>24000000</v>
      </c>
    </row>
    <row r="45" customFormat="false" ht="15" hidden="false" customHeight="false" outlineLevel="0" collapsed="false">
      <c r="A45" s="19" t="s">
        <v>152</v>
      </c>
      <c r="B45" s="16" t="s">
        <v>153</v>
      </c>
      <c r="C45" s="19" t="s">
        <v>142</v>
      </c>
      <c r="D45" s="21" t="n">
        <v>900</v>
      </c>
      <c r="E45" s="17" t="n">
        <v>40020</v>
      </c>
      <c r="F45" s="22" t="n">
        <f aca="false">D45*E45</f>
        <v>36018000</v>
      </c>
    </row>
    <row r="46" customFormat="false" ht="15" hidden="false" customHeight="false" outlineLevel="0" collapsed="false">
      <c r="A46" s="13"/>
      <c r="B46" s="10" t="s">
        <v>154</v>
      </c>
      <c r="C46" s="13"/>
      <c r="D46" s="13"/>
      <c r="E46" s="13"/>
      <c r="F46" s="11" t="n">
        <f aca="false">SUM(F42:F45)</f>
        <v>146718000</v>
      </c>
    </row>
    <row r="47" customFormat="false" ht="15" hidden="false" customHeight="false" outlineLevel="0" collapsed="false">
      <c r="A47" s="14" t="s">
        <v>155</v>
      </c>
      <c r="B47" s="14" t="s">
        <v>156</v>
      </c>
      <c r="C47" s="15"/>
      <c r="D47" s="15"/>
      <c r="E47" s="15"/>
      <c r="F47" s="15"/>
    </row>
    <row r="48" customFormat="false" ht="15" hidden="false" customHeight="false" outlineLevel="0" collapsed="false">
      <c r="A48" s="19" t="s">
        <v>157</v>
      </c>
      <c r="B48" s="16" t="s">
        <v>158</v>
      </c>
      <c r="C48" s="19" t="s">
        <v>92</v>
      </c>
      <c r="D48" s="21" t="n">
        <v>12000</v>
      </c>
      <c r="E48" s="17" t="n">
        <v>5780</v>
      </c>
      <c r="F48" s="22" t="n">
        <f aca="false">D48*E48</f>
        <v>69360000</v>
      </c>
    </row>
    <row r="49" customFormat="false" ht="15" hidden="false" customHeight="false" outlineLevel="0" collapsed="false">
      <c r="A49" s="19" t="s">
        <v>159</v>
      </c>
      <c r="B49" s="16" t="s">
        <v>160</v>
      </c>
      <c r="C49" s="19" t="s">
        <v>92</v>
      </c>
      <c r="D49" s="21" t="n">
        <v>8000</v>
      </c>
      <c r="E49" s="17" t="n">
        <v>3110</v>
      </c>
      <c r="F49" s="22" t="n">
        <f aca="false">D49*E49</f>
        <v>24880000</v>
      </c>
    </row>
    <row r="50" customFormat="false" ht="15" hidden="false" customHeight="false" outlineLevel="0" collapsed="false">
      <c r="A50" s="19" t="s">
        <v>161</v>
      </c>
      <c r="B50" s="16" t="s">
        <v>162</v>
      </c>
      <c r="C50" s="19" t="s">
        <v>92</v>
      </c>
      <c r="D50" s="21" t="n">
        <v>3500</v>
      </c>
      <c r="E50" s="17" t="n">
        <v>7560</v>
      </c>
      <c r="F50" s="22" t="n">
        <f aca="false">D50*E50</f>
        <v>26460000</v>
      </c>
    </row>
    <row r="51" customFormat="false" ht="15" hidden="false" customHeight="false" outlineLevel="0" collapsed="false">
      <c r="A51" s="19" t="s">
        <v>163</v>
      </c>
      <c r="B51" s="16" t="s">
        <v>164</v>
      </c>
      <c r="C51" s="19" t="s">
        <v>92</v>
      </c>
      <c r="D51" s="21" t="n">
        <v>60000</v>
      </c>
      <c r="E51" s="17" t="n">
        <v>1250</v>
      </c>
      <c r="F51" s="22" t="n">
        <f aca="false">D51*E51</f>
        <v>75000000</v>
      </c>
    </row>
    <row r="52" customFormat="false" ht="15" hidden="false" customHeight="false" outlineLevel="0" collapsed="false">
      <c r="A52" s="19" t="s">
        <v>165</v>
      </c>
      <c r="B52" s="16" t="s">
        <v>166</v>
      </c>
      <c r="C52" s="19" t="s">
        <v>92</v>
      </c>
      <c r="D52" s="21" t="n">
        <v>26000</v>
      </c>
      <c r="E52" s="17" t="n">
        <v>2850</v>
      </c>
      <c r="F52" s="22" t="n">
        <f aca="false">D52*E52</f>
        <v>74100000</v>
      </c>
    </row>
    <row r="53" customFormat="false" ht="15" hidden="false" customHeight="false" outlineLevel="0" collapsed="false">
      <c r="A53" s="19" t="s">
        <v>167</v>
      </c>
      <c r="B53" s="16" t="s">
        <v>168</v>
      </c>
      <c r="C53" s="19" t="s">
        <v>73</v>
      </c>
      <c r="D53" s="21" t="n">
        <v>1</v>
      </c>
      <c r="E53" s="17" t="n">
        <v>70189680</v>
      </c>
      <c r="F53" s="22" t="n">
        <f aca="false">D53*E53</f>
        <v>70189680</v>
      </c>
    </row>
    <row r="54" customFormat="false" ht="15" hidden="false" customHeight="false" outlineLevel="0" collapsed="false">
      <c r="A54" s="13"/>
      <c r="B54" s="10" t="s">
        <v>169</v>
      </c>
      <c r="C54" s="13"/>
      <c r="D54" s="13"/>
      <c r="E54" s="13"/>
      <c r="F54" s="11" t="n">
        <f aca="false">SUM(F48:F53)</f>
        <v>339989680</v>
      </c>
    </row>
    <row r="55" customFormat="false" ht="15" hidden="false" customHeight="false" outlineLevel="0" collapsed="false">
      <c r="A55" s="14" t="s">
        <v>170</v>
      </c>
      <c r="B55" s="14" t="s">
        <v>171</v>
      </c>
      <c r="C55" s="15"/>
      <c r="D55" s="15"/>
      <c r="E55" s="15"/>
      <c r="F55" s="15"/>
    </row>
    <row r="56" customFormat="false" ht="15" hidden="false" customHeight="false" outlineLevel="0" collapsed="false">
      <c r="A56" s="19" t="s">
        <v>172</v>
      </c>
      <c r="B56" s="16" t="s">
        <v>173</v>
      </c>
      <c r="C56" s="19" t="s">
        <v>174</v>
      </c>
      <c r="D56" s="21" t="n">
        <v>60</v>
      </c>
      <c r="E56" s="17" t="n">
        <v>850000</v>
      </c>
      <c r="F56" s="22" t="n">
        <f aca="false">D56*E56</f>
        <v>51000000</v>
      </c>
    </row>
    <row r="57" customFormat="false" ht="15" hidden="false" customHeight="false" outlineLevel="0" collapsed="false">
      <c r="A57" s="19" t="s">
        <v>175</v>
      </c>
      <c r="B57" s="16" t="s">
        <v>176</v>
      </c>
      <c r="C57" s="19" t="s">
        <v>73</v>
      </c>
      <c r="D57" s="21" t="n">
        <v>1</v>
      </c>
      <c r="E57" s="17" t="n">
        <v>48915770</v>
      </c>
      <c r="F57" s="22" t="n">
        <f aca="false">D57*E57</f>
        <v>48915770</v>
      </c>
    </row>
    <row r="58" customFormat="false" ht="15" hidden="false" customHeight="false" outlineLevel="0" collapsed="false">
      <c r="A58" s="13"/>
      <c r="B58" s="10" t="s">
        <v>177</v>
      </c>
      <c r="C58" s="13"/>
      <c r="D58" s="13"/>
      <c r="E58" s="13"/>
      <c r="F58" s="11" t="n">
        <f aca="false">SUM(F56:F57)</f>
        <v>99915770</v>
      </c>
    </row>
    <row r="59" customFormat="false" ht="15" hidden="false" customHeight="false" outlineLevel="0" collapsed="false">
      <c r="A59" s="14" t="s">
        <v>178</v>
      </c>
      <c r="B59" s="14" t="s">
        <v>179</v>
      </c>
      <c r="C59" s="15"/>
      <c r="D59" s="15"/>
      <c r="E59" s="15"/>
      <c r="F59" s="15"/>
    </row>
    <row r="60" customFormat="false" ht="15" hidden="false" customHeight="false" outlineLevel="0" collapsed="false">
      <c r="A60" s="19" t="s">
        <v>180</v>
      </c>
      <c r="B60" s="16" t="s">
        <v>181</v>
      </c>
      <c r="C60" s="19" t="s">
        <v>92</v>
      </c>
      <c r="D60" s="21" t="n">
        <v>37800</v>
      </c>
      <c r="E60" s="17" t="n">
        <v>1600</v>
      </c>
      <c r="F60" s="22" t="n">
        <f aca="false">D60*E60</f>
        <v>60480000</v>
      </c>
    </row>
    <row r="61" customFormat="false" ht="15" hidden="false" customHeight="false" outlineLevel="0" collapsed="false">
      <c r="A61" s="19" t="s">
        <v>182</v>
      </c>
      <c r="B61" s="16" t="s">
        <v>183</v>
      </c>
      <c r="C61" s="19" t="s">
        <v>92</v>
      </c>
      <c r="D61" s="21" t="n">
        <v>37800</v>
      </c>
      <c r="E61" s="17" t="n">
        <v>1070</v>
      </c>
      <c r="F61" s="22" t="n">
        <f aca="false">D61*E61</f>
        <v>40446000</v>
      </c>
    </row>
    <row r="62" customFormat="false" ht="15" hidden="false" customHeight="false" outlineLevel="0" collapsed="false">
      <c r="A62" s="19" t="s">
        <v>184</v>
      </c>
      <c r="B62" s="16" t="s">
        <v>185</v>
      </c>
      <c r="C62" s="19" t="s">
        <v>92</v>
      </c>
      <c r="D62" s="21" t="n">
        <v>37800</v>
      </c>
      <c r="E62" s="17" t="n">
        <v>4890</v>
      </c>
      <c r="F62" s="22" t="n">
        <f aca="false">D62*E62</f>
        <v>184842000</v>
      </c>
    </row>
    <row r="63" customFormat="false" ht="15" hidden="false" customHeight="false" outlineLevel="0" collapsed="false">
      <c r="A63" s="19" t="s">
        <v>186</v>
      </c>
      <c r="B63" s="16" t="s">
        <v>187</v>
      </c>
      <c r="C63" s="19" t="s">
        <v>92</v>
      </c>
      <c r="D63" s="21" t="n">
        <v>37800</v>
      </c>
      <c r="E63" s="17" t="n">
        <v>3380</v>
      </c>
      <c r="F63" s="22" t="n">
        <f aca="false">D63*E63</f>
        <v>127764000</v>
      </c>
    </row>
    <row r="64" customFormat="false" ht="15" hidden="false" customHeight="false" outlineLevel="0" collapsed="false">
      <c r="A64" s="19" t="s">
        <v>188</v>
      </c>
      <c r="B64" s="16" t="s">
        <v>189</v>
      </c>
      <c r="C64" s="19" t="s">
        <v>142</v>
      </c>
      <c r="D64" s="21" t="n">
        <v>3</v>
      </c>
      <c r="E64" s="17" t="n">
        <v>19566310</v>
      </c>
      <c r="F64" s="22" t="n">
        <f aca="false">D64*E64</f>
        <v>58698930</v>
      </c>
    </row>
    <row r="65" customFormat="false" ht="15" hidden="false" customHeight="false" outlineLevel="0" collapsed="false">
      <c r="A65" s="19" t="s">
        <v>190</v>
      </c>
      <c r="B65" s="16" t="s">
        <v>191</v>
      </c>
      <c r="C65" s="19" t="s">
        <v>92</v>
      </c>
      <c r="D65" s="21" t="n">
        <v>37800</v>
      </c>
      <c r="E65" s="17" t="n">
        <v>1420</v>
      </c>
      <c r="F65" s="22" t="n">
        <f aca="false">D65*E65</f>
        <v>53676000</v>
      </c>
    </row>
    <row r="66" customFormat="false" ht="15" hidden="false" customHeight="false" outlineLevel="0" collapsed="false">
      <c r="A66" s="19" t="s">
        <v>192</v>
      </c>
      <c r="B66" s="16" t="s">
        <v>193</v>
      </c>
      <c r="C66" s="19" t="s">
        <v>92</v>
      </c>
      <c r="D66" s="21" t="n">
        <v>37800</v>
      </c>
      <c r="E66" s="17" t="n">
        <v>1960</v>
      </c>
      <c r="F66" s="22" t="n">
        <f aca="false">D66*E66</f>
        <v>74088000</v>
      </c>
    </row>
    <row r="67" customFormat="false" ht="15" hidden="false" customHeight="false" outlineLevel="0" collapsed="false">
      <c r="A67" s="19" t="s">
        <v>194</v>
      </c>
      <c r="B67" s="16" t="s">
        <v>195</v>
      </c>
      <c r="C67" s="19" t="s">
        <v>142</v>
      </c>
      <c r="D67" s="21" t="n">
        <v>8</v>
      </c>
      <c r="E67" s="17" t="n">
        <v>10672530</v>
      </c>
      <c r="F67" s="22" t="n">
        <f aca="false">D67*E67</f>
        <v>85380240</v>
      </c>
    </row>
    <row r="68" customFormat="false" ht="15" hidden="false" customHeight="false" outlineLevel="0" collapsed="false">
      <c r="A68" s="19" t="s">
        <v>196</v>
      </c>
      <c r="B68" s="16" t="s">
        <v>197</v>
      </c>
      <c r="C68" s="19" t="s">
        <v>142</v>
      </c>
      <c r="D68" s="21" t="n">
        <v>8</v>
      </c>
      <c r="E68" s="17" t="n">
        <v>8004400</v>
      </c>
      <c r="F68" s="22" t="n">
        <f aca="false">D68*E68</f>
        <v>64035200</v>
      </c>
    </row>
    <row r="69" customFormat="false" ht="15" hidden="false" customHeight="false" outlineLevel="0" collapsed="false">
      <c r="A69" s="19" t="s">
        <v>198</v>
      </c>
      <c r="B69" s="16" t="s">
        <v>199</v>
      </c>
      <c r="C69" s="19" t="s">
        <v>92</v>
      </c>
      <c r="D69" s="21" t="n">
        <v>37800</v>
      </c>
      <c r="E69" s="17" t="n">
        <v>1330</v>
      </c>
      <c r="F69" s="22" t="n">
        <f aca="false">D69*E69</f>
        <v>50274000</v>
      </c>
    </row>
    <row r="70" customFormat="false" ht="15" hidden="false" customHeight="false" outlineLevel="0" collapsed="false">
      <c r="A70" s="13"/>
      <c r="B70" s="10" t="s">
        <v>200</v>
      </c>
      <c r="C70" s="13"/>
      <c r="D70" s="13"/>
      <c r="E70" s="13"/>
      <c r="F70" s="11" t="n">
        <f aca="false">SUM(F60:F69)</f>
        <v>799684370</v>
      </c>
    </row>
    <row r="71" customFormat="false" ht="15" hidden="false" customHeight="false" outlineLevel="0" collapsed="false">
      <c r="A71" s="14" t="s">
        <v>201</v>
      </c>
      <c r="B71" s="14" t="s">
        <v>202</v>
      </c>
      <c r="C71" s="15"/>
      <c r="D71" s="15"/>
      <c r="E71" s="15"/>
      <c r="F71" s="15"/>
    </row>
    <row r="72" customFormat="false" ht="15" hidden="false" customHeight="false" outlineLevel="0" collapsed="false">
      <c r="A72" s="19" t="s">
        <v>203</v>
      </c>
      <c r="B72" s="16" t="s">
        <v>204</v>
      </c>
      <c r="C72" s="19" t="s">
        <v>73</v>
      </c>
      <c r="D72" s="21" t="n">
        <v>1</v>
      </c>
      <c r="E72" s="17" t="n">
        <v>292513600</v>
      </c>
      <c r="F72" s="22" t="n">
        <f aca="false">D72*E72</f>
        <v>292513600</v>
      </c>
    </row>
    <row r="73" customFormat="false" ht="15" hidden="false" customHeight="false" outlineLevel="0" collapsed="false">
      <c r="A73" s="19" t="s">
        <v>205</v>
      </c>
      <c r="B73" s="16" t="s">
        <v>206</v>
      </c>
      <c r="C73" s="19" t="s">
        <v>73</v>
      </c>
      <c r="D73" s="21" t="n">
        <v>1</v>
      </c>
      <c r="E73" s="17" t="n">
        <v>106725320</v>
      </c>
      <c r="F73" s="22" t="n">
        <f aca="false">D73*E73</f>
        <v>106725320</v>
      </c>
    </row>
    <row r="74" customFormat="false" ht="15" hidden="false" customHeight="false" outlineLevel="0" collapsed="false">
      <c r="A74" s="19" t="s">
        <v>207</v>
      </c>
      <c r="B74" s="16" t="s">
        <v>208</v>
      </c>
      <c r="C74" s="19" t="s">
        <v>209</v>
      </c>
      <c r="D74" s="21" t="n">
        <v>65</v>
      </c>
      <c r="E74" s="17" t="n">
        <v>550000</v>
      </c>
      <c r="F74" s="22" t="n">
        <f aca="false">D74*E74</f>
        <v>35750000</v>
      </c>
    </row>
    <row r="75" customFormat="false" ht="15" hidden="false" customHeight="false" outlineLevel="0" collapsed="false">
      <c r="A75" s="19" t="s">
        <v>210</v>
      </c>
      <c r="B75" s="16" t="s">
        <v>211</v>
      </c>
      <c r="C75" s="19" t="s">
        <v>92</v>
      </c>
      <c r="D75" s="21" t="n">
        <v>1500</v>
      </c>
      <c r="E75" s="17" t="n">
        <v>40020</v>
      </c>
      <c r="F75" s="22" t="n">
        <f aca="false">D75*E75</f>
        <v>60030000</v>
      </c>
    </row>
    <row r="76" customFormat="false" ht="15" hidden="false" customHeight="false" outlineLevel="0" collapsed="false">
      <c r="A76" s="19" t="s">
        <v>212</v>
      </c>
      <c r="B76" s="16" t="s">
        <v>213</v>
      </c>
      <c r="C76" s="19" t="s">
        <v>73</v>
      </c>
      <c r="D76" s="21" t="n">
        <v>1</v>
      </c>
      <c r="E76" s="17" t="n">
        <v>48915770</v>
      </c>
      <c r="F76" s="22" t="n">
        <f aca="false">D76*E76</f>
        <v>48915770</v>
      </c>
    </row>
    <row r="77" customFormat="false" ht="15" hidden="false" customHeight="false" outlineLevel="0" collapsed="false">
      <c r="A77" s="13"/>
      <c r="B77" s="10" t="s">
        <v>214</v>
      </c>
      <c r="C77" s="13"/>
      <c r="D77" s="13"/>
      <c r="E77" s="13"/>
      <c r="F77" s="11" t="n">
        <f aca="false">SUM(F72:F76)</f>
        <v>543934690</v>
      </c>
    </row>
    <row r="78" customFormat="false" ht="15" hidden="false" customHeight="false" outlineLevel="0" collapsed="false">
      <c r="A78" s="14" t="s">
        <v>215</v>
      </c>
      <c r="B78" s="14" t="s">
        <v>216</v>
      </c>
      <c r="C78" s="15"/>
      <c r="D78" s="15"/>
      <c r="E78" s="15"/>
      <c r="F78" s="15"/>
    </row>
    <row r="79" customFormat="false" ht="15" hidden="false" customHeight="false" outlineLevel="0" collapsed="false">
      <c r="A79" s="19" t="s">
        <v>217</v>
      </c>
      <c r="B79" s="16" t="s">
        <v>218</v>
      </c>
      <c r="C79" s="19" t="s">
        <v>92</v>
      </c>
      <c r="D79" s="21" t="n">
        <v>1400</v>
      </c>
      <c r="E79" s="17" t="n">
        <v>5780</v>
      </c>
      <c r="F79" s="22" t="n">
        <f aca="false">D79*E79</f>
        <v>8092000</v>
      </c>
    </row>
    <row r="80" customFormat="false" ht="15" hidden="false" customHeight="false" outlineLevel="0" collapsed="false">
      <c r="A80" s="19" t="s">
        <v>219</v>
      </c>
      <c r="B80" s="16" t="s">
        <v>220</v>
      </c>
      <c r="C80" s="19" t="s">
        <v>73</v>
      </c>
      <c r="D80" s="21" t="n">
        <v>1</v>
      </c>
      <c r="E80" s="17" t="n">
        <v>5336270</v>
      </c>
      <c r="F80" s="22" t="n">
        <f aca="false">D80*E80</f>
        <v>5336270</v>
      </c>
    </row>
    <row r="81" customFormat="false" ht="15" hidden="false" customHeight="false" outlineLevel="0" collapsed="false">
      <c r="A81" s="19" t="s">
        <v>221</v>
      </c>
      <c r="B81" s="16" t="s">
        <v>222</v>
      </c>
      <c r="C81" s="19" t="s">
        <v>142</v>
      </c>
      <c r="D81" s="21" t="n">
        <v>4</v>
      </c>
      <c r="E81" s="17" t="n">
        <v>4002200</v>
      </c>
      <c r="F81" s="22" t="n">
        <f aca="false">D81*E81</f>
        <v>16008800</v>
      </c>
    </row>
    <row r="82" customFormat="false" ht="15" hidden="false" customHeight="false" outlineLevel="0" collapsed="false">
      <c r="A82" s="19" t="s">
        <v>223</v>
      </c>
      <c r="B82" s="16" t="s">
        <v>224</v>
      </c>
      <c r="C82" s="19" t="s">
        <v>73</v>
      </c>
      <c r="D82" s="21" t="n">
        <v>1</v>
      </c>
      <c r="E82" s="17" t="n">
        <v>17787550</v>
      </c>
      <c r="F82" s="22" t="n">
        <f aca="false">D82*E82</f>
        <v>17787550</v>
      </c>
    </row>
    <row r="83" customFormat="false" ht="15" hidden="false" customHeight="false" outlineLevel="0" collapsed="false">
      <c r="A83" s="19" t="s">
        <v>225</v>
      </c>
      <c r="B83" s="16" t="s">
        <v>226</v>
      </c>
      <c r="C83" s="19" t="s">
        <v>73</v>
      </c>
      <c r="D83" s="21" t="n">
        <v>1</v>
      </c>
      <c r="E83" s="17" t="n">
        <v>10672530</v>
      </c>
      <c r="F83" s="22" t="n">
        <f aca="false">D83*E83</f>
        <v>10672530</v>
      </c>
    </row>
    <row r="84" customFormat="false" ht="15" hidden="false" customHeight="false" outlineLevel="0" collapsed="false">
      <c r="A84" s="19" t="s">
        <v>227</v>
      </c>
      <c r="B84" s="16" t="s">
        <v>228</v>
      </c>
      <c r="C84" s="19" t="s">
        <v>73</v>
      </c>
      <c r="D84" s="21" t="n">
        <v>1</v>
      </c>
      <c r="E84" s="17" t="n">
        <v>16008800</v>
      </c>
      <c r="F84" s="22" t="n">
        <f aca="false">D84*E84</f>
        <v>16008800</v>
      </c>
    </row>
    <row r="85" customFormat="false" ht="15" hidden="false" customHeight="false" outlineLevel="0" collapsed="false">
      <c r="A85" s="19" t="s">
        <v>229</v>
      </c>
      <c r="B85" s="16" t="s">
        <v>230</v>
      </c>
      <c r="C85" s="19" t="s">
        <v>73</v>
      </c>
      <c r="D85" s="21" t="n">
        <v>1</v>
      </c>
      <c r="E85" s="17" t="n">
        <v>8004400</v>
      </c>
      <c r="F85" s="22" t="n">
        <f aca="false">D85*E85</f>
        <v>8004400</v>
      </c>
    </row>
    <row r="86" customFormat="false" ht="15" hidden="false" customHeight="false" outlineLevel="0" collapsed="false">
      <c r="A86" s="13"/>
      <c r="B86" s="10" t="s">
        <v>231</v>
      </c>
      <c r="C86" s="13"/>
      <c r="D86" s="13"/>
      <c r="E86" s="13"/>
      <c r="F86" s="11" t="n">
        <f aca="false">SUM(F79:F85)</f>
        <v>81910350</v>
      </c>
    </row>
    <row r="87" customFormat="false" ht="15" hidden="false" customHeight="false" outlineLevel="0" collapsed="false">
      <c r="A87" s="23"/>
      <c r="B87" s="24" t="s">
        <v>232</v>
      </c>
      <c r="C87" s="23"/>
      <c r="D87" s="23"/>
      <c r="E87" s="23"/>
      <c r="F87" s="25" t="n">
        <f aca="false">F12+F25+F34+F40+F46+F54+F58+F70+F77+F86</f>
        <v>4064100000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2026-07-23T09:31:13Z</dcterms:created>
  <dc:creator>openpyxl</dc:creator>
  <dc:description/>
  <dc:language>en-US</dc:language>
  <cp:lastModifiedBy/>
  <dcterms:modified xsi:type="dcterms:W3CDTF">2026-07-23T09:31:13Z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