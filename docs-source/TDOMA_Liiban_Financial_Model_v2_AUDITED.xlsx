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sheets/_rels/sheet20.xml.rels" ContentType="application/vnd.openxmlformats-package.relationships+xml"/>
  <Override PartName="/xl/worksheets/_rels/sheet16.xml.rels" ContentType="application/vnd.openxmlformats-package.relationships+xml"/>
  <Override PartName="/xl/worksheets/_rels/sheet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theme/theme1.xml" ContentType="application/vnd.openxmlformats-officedocument.theme+xml"/>
  <Override PartName="/xl/comments8.xml" ContentType="application/vnd.openxmlformats-officedocument.spreadsheetml.comments+xml"/>
  <Override PartName="/xl/comments12.xml" ContentType="application/vnd.openxmlformats-officedocument.spreadsheetml.comments+xml"/>
  <Override PartName="/xl/comments16.xml" ContentType="application/vnd.openxmlformats-officedocument.spreadsheetml.comments+xml"/>
  <Override PartName="/xl/styles.xml" ContentType="application/vnd.openxmlformats-officedocument.spreadsheetml.style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ver" sheetId="1" state="visible" r:id="rId3"/>
    <sheet name="Assumptions" sheetId="2" state="visible" r:id="rId4"/>
    <sheet name="IDC" sheetId="3" state="visible" r:id="rId5"/>
    <sheet name="Capex" sheetId="4" state="visible" r:id="rId6"/>
    <sheet name="Revenue" sheetId="5" state="visible" r:id="rId7"/>
    <sheet name="Opex" sheetId="6" state="visible" r:id="rId8"/>
    <sheet name="Financing" sheetId="7" state="visible" r:id="rId9"/>
    <sheet name="AssetSplit" sheetId="8" state="visible" r:id="rId10"/>
    <sheet name="PL" sheetId="9" state="visible" r:id="rId11"/>
    <sheet name="Tax" sheetId="10" state="visible" r:id="rId12"/>
    <sheet name="CashFlow" sheetId="11" state="visible" r:id="rId13"/>
    <sheet name="Balancesheet" sheetId="12" state="visible" r:id="rId14"/>
    <sheet name="VAT" sheetId="13" state="visible" r:id="rId15"/>
    <sheet name="Checks" sheetId="14" state="visible" r:id="rId16"/>
    <sheet name="TaxLaw" sheetId="15" state="visible" r:id="rId17"/>
    <sheet name="Returns" sheetId="16" state="visible" r:id="rId18"/>
    <sheet name="Payback" sheetId="17" state="visible" r:id="rId19"/>
    <sheet name="Breakeven" sheetId="18" state="visible" r:id="rId20"/>
    <sheet name="Sensitivity" sheetId="19" state="visible" r:id="rId21"/>
    <sheet name="Dashboard" sheetId="20" state="visible" r:id="rId22"/>
  </sheets>
  <definedNames>
    <definedName function="false" hidden="false" name="ABOVE_GRADE" vbProcedure="false">Assumptions!$B$6</definedName>
    <definedName function="false" hidden="false" name="ADR" vbProcedure="false">Assumptions!$B$53</definedName>
    <definedName function="false" hidden="false" name="ADR_G" vbProcedure="false">Assumptions!$B$68</definedName>
    <definedName function="false" hidden="false" name="ARR_PCT" vbProcedure="false">Assumptions!$B$39</definedName>
    <definedName function="false" hidden="false" name="BAD_DEBT" vbProcedure="false">Assumptions!$B$64</definedName>
    <definedName function="false" hidden="false" name="BASEMENT_A" vbProcedure="false">Assumptions!$B$7</definedName>
    <definedName function="false" hidden="false" name="BOQ_A" vbProcedure="false">Assumptions!$B$19</definedName>
    <definedName function="false" hidden="false" name="BOQ_B" vbProcedure="false">Assumptions!$B$20</definedName>
    <definedName function="false" hidden="false" name="BOQ_C" vbProcedure="false">Assumptions!$B$21</definedName>
    <definedName function="false" hidden="false" name="BOQ_D" vbProcedure="false">Assumptions!$B$22</definedName>
    <definedName function="false" hidden="false" name="BOQ_E" vbProcedure="false">Assumptions!$B$23</definedName>
    <definedName function="false" hidden="false" name="BOQ_F" vbProcedure="false">Assumptions!$B$24</definedName>
    <definedName function="false" hidden="false" name="BOQ_G" vbProcedure="false">Assumptions!$B$25</definedName>
    <definedName function="false" hidden="false" name="BOQ_H" vbProcedure="false">Assumptions!$B$26</definedName>
    <definedName function="false" hidden="false" name="BOQ_I" vbProcedure="false">Assumptions!$B$27</definedName>
    <definedName function="false" hidden="false" name="BOQ_J" vbProcedure="false">Assumptions!$B$28</definedName>
    <definedName function="false" hidden="false" name="BUILDING" vbProcedure="false">Capex!$B$16</definedName>
    <definedName function="false" hidden="false" name="CAPEX" vbProcedure="false">Capex!$B$18</definedName>
    <definedName function="false" hidden="false" name="CAP_WORKS" vbProcedure="false">Capex!$B$9</definedName>
    <definedName function="false" hidden="false" name="CASH_REQ" vbProcedure="false">Capex!$B$24</definedName>
    <definedName function="false" hidden="false" name="CIRCULATION_A" vbProcedure="false">Assumptions!$B$14</definedName>
    <definedName function="false" hidden="false" name="CIT" vbProcedure="false">Assumptions!$B$77</definedName>
    <definedName function="false" hidden="false" name="CLOUD_OPEX" vbProcedure="false">Assumptions!$B$65</definedName>
    <definedName function="false" hidden="false" name="COE" vbProcedure="false">Assumptions!$B$87</definedName>
    <definedName function="false" hidden="false" name="CONSTR_M" vbProcedure="false">Assumptions!$B$40</definedName>
    <definedName function="false" hidden="false" name="CONT_PCT" vbProcedure="false">Assumptions!$B$30</definedName>
    <definedName function="false" hidden="false" name="DEBT_SHARE" vbProcedure="false">Assumptions!$B$38</definedName>
    <definedName function="false" hidden="false" name="DEBT_V" vbProcedure="false">Capex!$B$27</definedName>
    <definedName function="false" hidden="false" name="DEP_ANNUAL" vbProcedure="false">AssetSplit!$B$37</definedName>
    <definedName function="false" hidden="false" name="DESIGN_PCT" vbProcedure="false">Assumptions!$B$29</definedName>
    <definedName function="false" hidden="false" name="DISC" vbProcedure="false">Assumptions!$B$86</definedName>
    <definedName function="false" hidden="false" name="DIV_WHT" vbProcedure="false">Assumptions!$B$81</definedName>
    <definedName function="false" hidden="false" name="DSCR_COV" vbProcedure="false">Assumptions!$B$43</definedName>
    <definedName function="false" hidden="false" name="EQ_HURDLE" vbProcedure="false">Assumptions!$B$98</definedName>
    <definedName function="false" hidden="false" name="EQ_TDOMA" vbProcedure="false">Capex!$B$25</definedName>
    <definedName function="false" hidden="false" name="EVENTS_GLA_A" vbProcedure="false">Assumptions!$B$16</definedName>
    <definedName function="false" hidden="false" name="EXIT_CAP" vbProcedure="false">Assumptions!$B$88</definedName>
    <definedName function="false" hidden="false" name="FB_UPLIFT" vbProcedure="false">Assumptions!$B$54</definedName>
    <definedName function="false" hidden="false" name="FFE" vbProcedure="false">Assumptions!$B$32</definedName>
    <definedName function="false" hidden="false" name="FX" vbProcedure="false">Assumptions!$B$85</definedName>
    <definedName function="false" hidden="false" name="GRACE_Y" vbProcedure="false">Assumptions!$B$41</definedName>
    <definedName function="false" hidden="false" name="HOCC1" vbProcedure="false">Assumptions!$B$72</definedName>
    <definedName function="false" hidden="false" name="HOCC2" vbProcedure="false">Assumptions!$B$73</definedName>
    <definedName function="false" hidden="false" name="HOCC3" vbProcedure="false">Assumptions!$B$74</definedName>
    <definedName function="false" hidden="false" name="HOTEL_GLA_A" vbProcedure="false">Assumptions!$B$15</definedName>
    <definedName function="false" hidden="false" name="HOTEL_KEYS" vbProcedure="false">Assumptions!$B$52</definedName>
    <definedName function="false" hidden="false" name="HQ_A" vbProcedure="false">Assumptions!$B$11</definedName>
    <definedName function="false" hidden="false" name="HQ_A1" vbProcedure="false">Assumptions!$B$94</definedName>
    <definedName function="false" hidden="false" name="HQ_A2" vbProcedure="false">Assumptions!$B$96</definedName>
    <definedName function="false" hidden="false" name="HQ_R1" vbProcedure="false">Assumptions!$B$95</definedName>
    <definedName function="false" hidden="false" name="HQ_R2" vbProcedure="false">Assumptions!$B$97</definedName>
    <definedName function="false" hidden="false" name="IDC_TOTAL" vbProcedure="false">IDC!$G$39</definedName>
    <definedName function="false" hidden="false" name="INPUT_VAT_CAPEX" vbProcedure="false">Capex!$B$30</definedName>
    <definedName function="false" hidden="false" name="INVENTORY_V" vbProcedure="false">AssetSplit!$B$19</definedName>
    <definedName function="false" hidden="false" name="IP_V" vbProcedure="false">AssetSplit!$B$21</definedName>
    <definedName function="false" hidden="false" name="KEY_MONEY" vbProcedure="false">Assumptions!$B$46</definedName>
    <definedName function="false" hidden="false" name="LAND_RATE" vbProcedure="false">Assumptions!$B$35</definedName>
    <definedName function="false" hidden="false" name="LAND_V" vbProcedure="false">Capex!$B$17</definedName>
    <definedName function="false" hidden="false" name="LEGAL_RESERVE_PCT" vbProcedure="false">Assumptions!$B$83</definedName>
    <definedName function="false" hidden="false" name="LIFE_B" vbProcedure="false">Assumptions!$B$90</definedName>
    <definedName function="false" hidden="false" name="LIFE_F" vbProcedure="false">Assumptions!$B$92</definedName>
    <definedName function="false" hidden="false" name="LIFE_S" vbProcedure="false">Assumptions!$B$91</definedName>
    <definedName function="false" hidden="false" name="LOSS_CF_CAP" vbProcedure="false">Assumptions!$B$84</definedName>
    <definedName function="false" hidden="false" name="MGMT_FEE" vbProcedure="false">Assumptions!$B$62</definedName>
    <definedName function="false" hidden="false" name="NET_GLA" vbProcedure="false">Assumptions!$B$8</definedName>
    <definedName function="false" hidden="false" name="OA12_FEE" vbProcedure="false">Assumptions!$B$31</definedName>
    <definedName function="false" hidden="false" name="OCC_MULT" vbProcedure="false">Assumptions!$B$17</definedName>
    <definedName function="false" hidden="false" name="OCC_STAB" vbProcedure="false">Assumptions!$B$71</definedName>
    <definedName function="false" hidden="false" name="OCC_Y1" vbProcedure="false">Assumptions!$B$69</definedName>
    <definedName function="false" hidden="false" name="OCC_Y2" vbProcedure="false">Assumptions!$B$70</definedName>
    <definedName function="false" hidden="false" name="ONE_STOP" vbProcedure="false">Assumptions!$B$12</definedName>
    <definedName function="false" hidden="false" name="OPEX_ESC" vbProcedure="false">Assumptions!$B$67</definedName>
    <definedName function="false" hidden="false" name="OTH_EVENTS" vbProcedure="false">Assumptions!$B$56</definedName>
    <definedName function="false" hidden="false" name="OTH_PARKING" vbProcedure="false">Assumptions!$B$57</definedName>
    <definedName function="false" hidden="false" name="OTH_SVC" vbProcedure="false">Assumptions!$B$59</definedName>
    <definedName function="false" hidden="false" name="OTH_VEND" vbProcedure="false">Assumptions!$B$58</definedName>
    <definedName function="false" hidden="false" name="PAYOUT" vbProcedure="false">Assumptions!$B$75</definedName>
    <definedName function="false" hidden="false" name="PLOT" vbProcedure="false">Assumptions!$B$5</definedName>
    <definedName function="false" hidden="false" name="PPE_V" vbProcedure="false">AssetSplit!$B$20</definedName>
    <definedName function="false" hidden="false" name="PREOPEN" vbProcedure="false">Assumptions!$B$33</definedName>
    <definedName function="false" hidden="false" name="PROP_OPEX" vbProcedure="false">Assumptions!$B$61</definedName>
    <definedName function="false" hidden="false" name="PROP_TAX" vbProcedure="false">Assumptions!$B$63</definedName>
    <definedName function="false" hidden="false" name="RATE" vbProcedure="false">Assumptions!$B$37</definedName>
    <definedName function="false" hidden="false" name="RENT_ESC" vbProcedure="false">Assumptions!$B$66</definedName>
    <definedName function="false" hidden="false" name="RENT_OFFICE" vbProcedure="false">Assumptions!$B$48</definedName>
    <definedName function="false" hidden="false" name="RENT_RETAIL" vbProcedure="false">Assumptions!$B$45</definedName>
    <definedName function="false" hidden="false" name="RENT_TRADE" vbProcedure="false">Assumptions!$B$50</definedName>
    <definedName function="false" hidden="false" name="RENT_WHOLESALE" vbProcedure="false">Assumptions!$B$49</definedName>
    <definedName function="false" hidden="false" name="RETAIL_TOT" vbProcedure="false">Assumptions!$B$9</definedName>
    <definedName function="false" hidden="false" name="SALE_PRICE" vbProcedure="false">Assumptions!$B$47</definedName>
    <definedName function="false" hidden="false" name="SOLD_PCT" vbProcedure="false">Assumptions!$B$10</definedName>
    <definedName function="false" hidden="false" name="STAB_RENT" vbProcedure="false">Revenue!$B$15</definedName>
    <definedName function="false" hidden="false" name="TAX_BASE_BLDG" vbProcedure="false">AssetSplit!$B$40</definedName>
    <definedName function="false" hidden="false" name="TAX_BASE_PLANT" vbProcedure="false">AssetSplit!$B$42</definedName>
    <definedName function="false" hidden="false" name="TAX_DEP" vbProcedure="false">Assumptions!$B$79</definedName>
    <definedName function="false" hidden="false" name="TAX_DEP_AN_BLDG" vbProcedure="false">AssetSplit!$B$41</definedName>
    <definedName function="false" hidden="false" name="TAX_DEP_PLANT" vbProcedure="false">Assumptions!$B$80</definedName>
    <definedName function="false" hidden="false" name="TENOR" vbProcedure="false">Assumptions!$B$42</definedName>
    <definedName function="false" hidden="false" name="TURNOVER" vbProcedure="false">Assumptions!$B$55</definedName>
    <definedName function="false" hidden="false" name="UNDIST_TAX_RATE" vbProcedure="false">Assumptions!$B$82</definedName>
    <definedName function="false" hidden="false" name="USES" vbProcedure="false">Capex!$B$21</definedName>
    <definedName function="false" hidden="false" name="VAT_R" vbProcedure="false">Assumptions!$B$78</definedName>
    <definedName function="false" hidden="false" name="WAREHOUSE_M2" vbProcedure="false">Assumptions!$B$13</definedName>
    <definedName function="false" hidden="false" name="WAREHOUSE_RENT" vbProcedure="false">Assumptions!$B$51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42" authorId="0">
      <text>
        <r>
          <rPr>
            <sz val="10"/>
            <rFont val="Arial"/>
            <family val="2"/>
          </rPr>
          <t xml:space="preserve">AUDIT FIX: was static typed text ("1.37x") that had gone stale vs. the live model (actual minimum is 1.42x). Converted to a live formula.</t>
        </r>
      </text>
    </comment>
    <comment ref="B44" authorId="0">
      <text>
        <r>
          <rPr>
            <sz val="10"/>
            <rFont val="Arial"/>
            <family val="2"/>
          </rPr>
          <t xml:space="preserve">AUDIT FIX: this was static typed text ("26.3% / 22.4% ... both clear") that had gone stale relative to the live model, and incorrectly claimed the equity IRR cleared its hurdle when it does not (confirmed independently by the Sensitivity sheet's own commentary). Converted to a live formula so it can never go stale again and correctly reports each hurdle independently.</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45" authorId="0">
      <text>
        <r>
          <rPr>
            <sz val="10"/>
            <rFont val="Arial"/>
            <family val="2"/>
          </rPr>
          <t xml:space="preserve">AUDIT FIX: previously PL!row14 and Balancesheet!rows4-5 charged a single flat blended annual figure (this sheet's B37) for all 12 operating years. FF&amp;E's own life is only 7 years (LIFE_F), so it should be fully written off after O7 and drop out of the charge from O8 onward. Building (50yr) and Specialist systems (15yr) both exceed the 12-year operating horizon so are unaffected. This schedule computes the correct year-by-year total and feeds PL, Balancesheet and Tax in place of the old flat DEP_ANNUAL*n approach. DEP_ANNUAL (B37) is left unchanged since Checks!B11 tests it structurally.</t>
        </r>
      </text>
    </comment>
    <comment ref="B10" authorId="0">
      <text>
        <r>
          <rPr>
            <sz val="10"/>
            <rFont val="Arial"/>
            <family val="2"/>
          </rPr>
          <t xml:space="preserve">AUDIT FIX: previously '=$B$5*$B$6+600*25000+264*35000' — two unlabeled hard-coded area/rate pairs with no source. Now linked to Assumptions!B94:B97. Values unchanged; only traceability fixed. Confirm the original source of these two line items.</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E14" authorId="0">
      <text>
        <r>
          <rPr>
            <sz val="10"/>
            <rFont val="Arial"/>
            <family val="2"/>
          </rPr>
          <t xml:space="preserve">AUDIT FIX: previously '=-MIN(DEP_ANNUAL,MAX(IP_V+PPE_V-DEP_ANNUAL*0,0))', which charged the same flat depreciation every year regardless of component life. FF&amp;E (7yr life) was being depreciated for the full 12-year horizon, over-charging depreciation by ~ETB102m cumulatively in O8-O12. Now pulls the life-aware annual total from AssetSplit!row51.</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E24" authorId="0">
      <text>
        <r>
          <rPr>
            <sz val="10"/>
            <rFont val="Arial"/>
            <family val="2"/>
          </rPr>
          <t xml:space="preserve">AUDIT FIX: previously used DEP_ANNUAL*n (flat). Must stay consistent with the corrected book depreciation (PL!row14 / Balancesheet!rows4-5) or the deferred-tax temporary difference would silently diverge from the actual accounting NBV. Now references AssetSplit!row52 cumulative depreciation.</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E4" authorId="0">
      <text>
        <r>
          <rPr>
            <sz val="10"/>
            <rFont val="Arial"/>
            <family val="2"/>
          </rPr>
          <t xml:space="preserve">AUDIT FIX: previously used DEP_ANNUAL*n (flat per-year multiplication). Now uses the cumulative life-aware depreciation from AssetSplit!row52, consistent with the corrected PL depreciation charge (FF&amp;E fully derecognised after year 7).</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E10" authorId="0">
      <text>
        <r>
          <rPr>
            <sz val="10"/>
            <rFont val="Arial"/>
            <family val="2"/>
          </rPr>
          <t xml:space="preserve">AUDIT FIX: previously '=E8+E9', which contradicted row 9's own label stating the capex VAT refund is 'not this cash line'. Now excludes it, so 'NET VAT' below reflects only the recurring operating VAT position. A memo including the capex refund is added in row 14.</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AUDIT FIX: the O1 input-VAT-on-capex refund (ETB 629.3m, CashFlow!E10) was already included in the Cash Flow Statement (CashFlow!E11) and in the DSCR/CFADS test (Financing!E15) but was missing from this Project Cash Flow line, which drives Project IRR/NPV, Equity IRR/NPV and the Payback sheet. It is real cash the project receives, so it is now added here for consistency (0 in all other years, so this is a no-op there).</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A35" authorId="0">
      <text>
        <r>
          <rPr>
            <sz val="10"/>
            <rFont val="Arial"/>
            <family val="2"/>
          </rPr>
          <t xml:space="preserve">AUDIT FIX: this was static typed text ("26.3% / 22.4% ... both clear") that had gone stale relative to the live model, and incorrectly claimed the equity IRR cleared its hurdle when it does not (confirmed independently by the Sensitivity sheet's own commentary). Converted to a live formula so it can never go stale again and correctly reports each hurdle independently.</t>
        </r>
      </text>
    </comment>
    <comment ref="A36" authorId="0">
      <text>
        <r>
          <rPr>
            <sz val="10"/>
            <rFont val="Arial"/>
            <family val="2"/>
          </rPr>
          <t xml:space="preserve">AUDIT FIX: was static typed text ("1.37x") that had gone stale vs. the live model (actual minimum is 1.42x). Converted to a live formula.</t>
        </r>
      </text>
    </comment>
  </commentList>
</comments>
</file>

<file path=xl/sharedStrings.xml><?xml version="1.0" encoding="utf-8"?>
<sst xmlns="http://schemas.openxmlformats.org/spreadsheetml/2006/main" count="1035" uniqueCount="762">
  <si>
    <t xml:space="preserve">LIIBAN SMART MALL — Integrated Financial Model</t>
  </si>
  <si>
    <t xml:space="preserve">TDOMA S.C. · G+15 mixed-use trade complex · Merkato, Addis Ababa</t>
  </si>
  <si>
    <t xml:space="preserve">Version</t>
  </si>
  <si>
    <t xml:space="preserve">2.0</t>
  </si>
  <si>
    <t xml:space="preserve">Date</t>
  </si>
  <si>
    <t xml:space="preserve">20 July 2026 (audited/edited)</t>
  </si>
  <si>
    <t xml:space="preserve">Author</t>
  </si>
  <si>
    <t xml:space="preserve">Prepared for TDOMA S.C.</t>
  </si>
  <si>
    <t xml:space="preserve">Reporting currency</t>
  </si>
  <si>
    <t xml:space="preserve">ETB (Ethiopian Birr); USD memo @ 160</t>
  </si>
  <si>
    <t xml:space="preserve">Framework</t>
  </si>
  <si>
    <t xml:space="preserve">Full IFRS (Financial Reporting Proclamation No. 847/2014, AABE)</t>
  </si>
  <si>
    <t xml:space="preserve">Structure</t>
  </si>
  <si>
    <t xml:space="preserve">70/30 PPP with City Government of Addis Ababa</t>
  </si>
  <si>
    <t xml:space="preserve">Presentation</t>
  </si>
  <si>
    <t xml:space="preserve">Consolidated 100%; City's 30% as non-controlling interest</t>
  </si>
  <si>
    <t xml:space="preserve">Horizon</t>
  </si>
  <si>
    <t xml:space="preserve">3 construction years + 12 operating years; statements shown for 10</t>
  </si>
  <si>
    <t xml:space="preserve">CONVENTIONS</t>
  </si>
  <si>
    <t xml:space="preserve">  BLUE</t>
  </si>
  <si>
    <t xml:space="preserve">Input — change these</t>
  </si>
  <si>
    <t xml:space="preserve">  BLACK</t>
  </si>
  <si>
    <t xml:space="preserve">Formula within the sheet</t>
  </si>
  <si>
    <t xml:space="preserve">  GREEN</t>
  </si>
  <si>
    <t xml:space="preserve">Cross-sheet link</t>
  </si>
  <si>
    <t xml:space="preserve">  YELLOW fill</t>
  </si>
  <si>
    <t xml:space="preserve">Key output or check</t>
  </si>
  <si>
    <t xml:space="preserve">CIRCULARITY</t>
  </si>
  <si>
    <t xml:space="preserve">  None</t>
  </si>
  <si>
    <t xml:space="preserve">The model is fully ACYCLIC. No iterative calculation is required or enabled.</t>
  </si>
  <si>
    <t xml:space="preserve">The monthly IDC schedule is RECURSIVE (month m depends on month m-1), which</t>
  </si>
  <si>
    <t xml:space="preserve">Excel handles natively. The one true cycle (arrangement fee &lt;-&gt; IDC) was removed</t>
  </si>
  <si>
    <t xml:space="preserve">by excluding IDC from the fee base: a 0.047% effect on capex, in exchange for a</t>
  </si>
  <si>
    <t xml:space="preserve">workbook that cannot break on a settings change and is independently verifiable.</t>
  </si>
  <si>
    <t xml:space="preserve">HOW TO CHANGE AN INPUT</t>
  </si>
  <si>
    <t xml:space="preserve">  1</t>
  </si>
  <si>
    <t xml:space="preserve">Go to the Assumptions sheet. Change any BLUE cell.</t>
  </si>
  <si>
    <t xml:space="preserve">  2</t>
  </si>
  <si>
    <t xml:space="preserve">Everything downstream re-calculates — no hard-coded outputs anywhere.</t>
  </si>
  <si>
    <t xml:space="preserve">  3</t>
  </si>
  <si>
    <t xml:space="preserve">Check the Checks sheet. Do not rely on the model if anything reads FAIL</t>
  </si>
  <si>
    <t xml:space="preserve">   (except the DSCR check — see below).</t>
  </si>
  <si>
    <t xml:space="preserve">VALUE-ENGINEERING APPLIED</t>
  </si>
  <si>
    <t xml:space="preserve">  Facade</t>
  </si>
  <si>
    <t xml:space="preserve">Kinetic bronze shading -&gt; standard curtain walling (BOQ D.2)</t>
  </si>
  <si>
    <t xml:space="preserve">  Data centre</t>
  </si>
  <si>
    <t xml:space="preserve">On-site data centre -&gt; cloud infrastructure (BOQ I.2 dropped; opex added)</t>
  </si>
  <si>
    <t xml:space="preserve">  ASRS</t>
  </si>
  <si>
    <t xml:space="preserve">Automated logistics dropped; B2+B3 (6,000 m2) let as warehouse instead of service area</t>
  </si>
  <si>
    <t xml:space="preserve">  Office</t>
  </si>
  <si>
    <t xml:space="preserve">Community/civic, museum/craft, enterprise/digital, business centre CONSOLIDATED</t>
  </si>
  <si>
    <t xml:space="preserve">into commercial office: 2,592 -&gt; 5,264 m2</t>
  </si>
  <si>
    <t xml:space="preserve">  Key money</t>
  </si>
  <si>
    <t xml:space="preserve">Set to ZERO — TDOMA cannot charge it (one-time payment between an incoming</t>
  </si>
  <si>
    <t xml:space="preserve">tenant and an OUTGOING tenant/broker on a vacant lease; not applicable to a first landlord)</t>
  </si>
  <si>
    <t xml:space="preserve">KNOWN FINDINGS</t>
  </si>
  <si>
    <t xml:space="preserve">  DSCR</t>
  </si>
  <si>
    <t xml:space="preserve">See Dashboard.</t>
  </si>
  <si>
    <t xml:space="preserve">  Viability</t>
  </si>
  <si>
    <t xml:space="preserve">  Floor, not estimate</t>
  </si>
  <si>
    <t xml:space="preserve">Specialist consultancy is priced from industry norms; warehouse rent has no</t>
  </si>
  <si>
    <t xml:space="preserve">sourced comparable yet.</t>
  </si>
  <si>
    <t xml:space="preserve">  Impairment (IAS 36)</t>
  </si>
  <si>
    <t xml:space="preserve">Test IS performed (see Returns). Value in use exceeds carrying value every year; no</t>
  </si>
  <si>
    <t xml:space="preserve">charge is booked in the P&amp;L/BS -- would need separate modelling if a scenario ever breaches it.</t>
  </si>
  <si>
    <t xml:space="preserve">  Related-party sale — LEGAL ACTION REQUIRED</t>
  </si>
  <si>
    <t xml:space="preserve">The 1,684,800,000 ETB retail sale to shareholder-</t>
  </si>
  <si>
    <t xml:space="preserve">merchants has NO recorded Art. 395 board/shareholder approval, auditor's report, or MoTI filing</t>
  </si>
  <si>
    <t xml:space="preserve">on file. It remains legally VOIDABLE until obtained -- see TaxLaw. This is a governance/legal</t>
  </si>
  <si>
    <t xml:space="preserve">action a model cannot resolve; flagged here so it is not lost.</t>
  </si>
  <si>
    <t xml:space="preserve">SHEETS</t>
  </si>
  <si>
    <t xml:space="preserve">  Assumptions</t>
  </si>
  <si>
    <t xml:space="preserve">Every input, with source, date and confidence flag</t>
  </si>
  <si>
    <t xml:space="preserve">  TaxLaw</t>
  </si>
  <si>
    <t xml:space="preserve">Tax &amp; Law Register + IFRS treatments applied</t>
  </si>
  <si>
    <t xml:space="preserve">  Capex / IDC</t>
  </si>
  <si>
    <t xml:space="preserve">Development cost; IDC solved monthly</t>
  </si>
  <si>
    <t xml:space="preserve">  AssetSplit</t>
  </si>
  <si>
    <t xml:space="preserve">IAS 2 / IAS 40 / IAS 16 allocation + depreciation basis</t>
  </si>
  <si>
    <t xml:space="preserve">  Revenue / Opex</t>
  </si>
  <si>
    <t xml:space="preserve">Rent roll, sales, turnover rent, key money; operating costs</t>
  </si>
  <si>
    <t xml:space="preserve">  Financing</t>
  </si>
  <si>
    <t xml:space="preserve">Loan amortisation + DSCR covenant</t>
  </si>
  <si>
    <t xml:space="preserve">  Tax</t>
  </si>
  <si>
    <t xml:space="preserve">Current + deferred (IAS 12)</t>
  </si>
  <si>
    <t xml:space="preserve">  VAT</t>
  </si>
  <si>
    <t xml:space="preserve">Output/input VAT and net position — live formulas</t>
  </si>
  <si>
    <t xml:space="preserve">  PL / BS / CashFlow</t>
  </si>
  <si>
    <t xml:space="preserve">The three statements, integrated</t>
  </si>
  <si>
    <t xml:space="preserve">  Returns</t>
  </si>
  <si>
    <t xml:space="preserve">DCF, IRRs, GDV vs cost</t>
  </si>
  <si>
    <t xml:space="preserve">  Checks</t>
  </si>
  <si>
    <t xml:space="preserve">Integrity checks — all live formulas</t>
  </si>
  <si>
    <t xml:space="preserve">  Sensitivity</t>
  </si>
  <si>
    <t xml:space="preserve">Delay, cost overrun, FX, revenue, financing — COMPUTED VALUES,</t>
  </si>
  <si>
    <t xml:space="preserve">not live formulas (see the sheet's own header). Detail: docs/05.</t>
  </si>
  <si>
    <t xml:space="preserve">  Breakeven</t>
  </si>
  <si>
    <t xml:space="preserve">Occupancy / rent / sale-price / sale-% / exit-cap break-evens</t>
  </si>
  <si>
    <t xml:space="preserve">against margin, DSCR and IRR targets. Computed. Detail: docs/06.</t>
  </si>
  <si>
    <t xml:space="preserve">AUDIT LOG (this version)</t>
  </si>
  <si>
    <t xml:space="preserve">1. Cover/Dashboard headline IRR/DSCR sentences were stale hard-typed text, contradicting the live model and the Sensitivity sheet's own commentary — converted to live formulas (B42, B44 here; Dashboard!A35:A36).</t>
  </si>
  <si>
    <t xml:space="preserve">2. FF&amp;E (7-yr life) was being depreciated for the full 12-yr horizon instead of stopping at year 7 — fixed via new AssetSplit!rows45-52; flows through to PL, Balancesheet, Tax.</t>
  </si>
  <si>
    <t xml:space="preserve">3. Project/Equity IRR cash flows omitted the O1 input-VAT capex refund that Cash Flow and the DSCR test both included — fixed in Returns!row4.</t>
  </si>
  <si>
    <t xml:space="preserve">4. VAT sheet row 10 summed the capex refund despite its own note saying not to — fixed; memo row 14 added.</t>
  </si>
  <si>
    <t xml:space="preserve">5. Returns!A5 label said "75% share out"; formula used 70% — label corrected.</t>
  </si>
  <si>
    <t xml:space="preserve">6. AssetSplit!B10 had two unlabeled hard-coded rate/area pairs — linked to new Assumptions!B94:B97.</t>
  </si>
  <si>
    <t xml:space="preserve">7. Sensitivity sheet "Base" cells in every table re-linked to the live model (were a stale snapshot); non-base scenario rows still need re-simulation (see note in sheet).</t>
  </si>
  <si>
    <t xml:space="preserve">8. Added Assumptions!B98 (Equity IRR hurdle, 24%) since no source cell previously existed for a figure quoted repeatedly elsewhere.</t>
  </si>
  <si>
    <t xml:space="preserve">Net effect: corrected Project IRR 29.7%, Equity IRR 25.3% (now genuinely clears the 24% hurdle), Min DSCR 1.42x. All 13 integrity checks still PASS; balance sheet still balances exactly.</t>
  </si>
  <si>
    <t xml:space="preserve">9. Sensitivity and Breakeven sheets FULLY RECOMPUTED against the corrected model (previously stale externally-computed snapshots). Method: a Python replica of the workbook, validated to 1.6e-14 at base case, then spot-verified by re-running 7 scenarios and 8 break-even points through LibreOffice on the actual workbook (worst deviation 8.9e-14).</t>
  </si>
  <si>
    <t xml:space="preserve">10. NEW FINDINGS from the recomputation: (a) the DSCR covenant, not the IRR hurdle, is the binding constraint - it breaches at ~7% cost overrun, 0.85x occupancy, or a 25.3% debt rate, while project IRR still looks healthy; (b) OCC_MULT and a uniform rent multiplier are the SAME lever mathematically, so Breakeven tables A and B must agree - the original showed different numbers; (c) EXIT_CAP does double duty as terminal cap rate AND property-tax valuation yield, contaminating the exit-cap sensitivity.</t>
  </si>
  <si>
    <t xml:space="preserve">Assumptions Register</t>
  </si>
  <si>
    <t xml:space="preserve">Item</t>
  </si>
  <si>
    <t xml:space="preserve">Value</t>
  </si>
  <si>
    <t xml:space="preserve">AREAS — Programme (Area Allocation Matrix)</t>
  </si>
  <si>
    <t xml:space="preserve">Plot area</t>
  </si>
  <si>
    <t xml:space="preserve">Above-grade gross (INCL 600 m2 roof)</t>
  </si>
  <si>
    <t xml:space="preserve">Basement gross (3 levels)</t>
  </si>
  <si>
    <t xml:space="preserve">Total net GLA</t>
  </si>
  <si>
    <t xml:space="preserve">Retail — total net GLA</t>
  </si>
  <si>
    <t xml:space="preserve">Retail — % sold after construction</t>
  </si>
  <si>
    <t xml:space="preserve">TDOMA HQ (owner-occupied)</t>
  </si>
  <si>
    <t xml:space="preserve">Government one-stop (rent-free)</t>
  </si>
  <si>
    <t xml:space="preserve">Basement warehouse area (B2+B3)</t>
  </si>
  <si>
    <t xml:space="preserve">Arrival &amp; circulation (no rent)</t>
  </si>
  <si>
    <t xml:space="preserve">Hotel net GLA</t>
  </si>
  <si>
    <t xml:space="preserve">Events &amp; MICE net GLA</t>
  </si>
  <si>
    <t xml:space="preserve">Occupancy level multiplier (sensitivity)</t>
  </si>
  <si>
    <t xml:space="preserve">CONSTRUCTION — BOQ elemental</t>
  </si>
  <si>
    <t xml:space="preserve">BOQ A  Preliminaries &amp; General</t>
  </si>
  <si>
    <t xml:space="preserve">BOQ B  Substructure</t>
  </si>
  <si>
    <t xml:space="preserve">BOQ C  Superstructure</t>
  </si>
  <si>
    <t xml:space="preserve">BOQ D  External Envelope</t>
  </si>
  <si>
    <t xml:space="preserve">BOQ E  Internal Divisions</t>
  </si>
  <si>
    <t xml:space="preserve">BOQ F  Finishes</t>
  </si>
  <si>
    <t xml:space="preserve">BOQ G  Fittings &amp; Sanitary</t>
  </si>
  <si>
    <t xml:space="preserve">BOQ H  Services / MEP</t>
  </si>
  <si>
    <t xml:space="preserve">BOQ I  Specialist Systems</t>
  </si>
  <si>
    <t xml:space="preserve">BOQ J  External Works</t>
  </si>
  <si>
    <t xml:space="preserve">In-house design fee %</t>
  </si>
  <si>
    <t xml:space="preserve">Contingency %</t>
  </si>
  <si>
    <t xml:space="preserve">Specialist consultancy</t>
  </si>
  <si>
    <t xml:space="preserve">FF&amp;E — TDOMA scope</t>
  </si>
  <si>
    <t xml:space="preserve">Pre-opening &amp; marketing</t>
  </si>
  <si>
    <t xml:space="preserve">LAND — City's in-kind contribution</t>
  </si>
  <si>
    <t xml:space="preserve">Land rate</t>
  </si>
  <si>
    <t xml:space="preserve">FINANCING</t>
  </si>
  <si>
    <t xml:space="preserve">Loan interest rate</t>
  </si>
  <si>
    <t xml:space="preserve">Debt share of cash requirement</t>
  </si>
  <si>
    <t xml:space="preserve">Arrangement fee %</t>
  </si>
  <si>
    <t xml:space="preserve">Construction period</t>
  </si>
  <si>
    <t xml:space="preserve">Grace period</t>
  </si>
  <si>
    <t xml:space="preserve">Loan tenor</t>
  </si>
  <si>
    <t xml:space="preserve">DSCR covenant</t>
  </si>
  <si>
    <t xml:space="preserve">REVENUE RATES</t>
  </si>
  <si>
    <t xml:space="preserve">Retail contract rent</t>
  </si>
  <si>
    <t xml:space="preserve">Key money (TDOMA cannot charge)</t>
  </si>
  <si>
    <t xml:space="preserve">Retail sale price</t>
  </si>
  <si>
    <t xml:space="preserve">Office rent</t>
  </si>
  <si>
    <t xml:space="preserve">Wholesale showrooms rent</t>
  </si>
  <si>
    <t xml:space="preserve">Trade services rent</t>
  </si>
  <si>
    <t xml:space="preserve">Basement warehouse rent</t>
  </si>
  <si>
    <t xml:space="preserve">Hotel keys</t>
  </si>
  <si>
    <t xml:space="preserve">Hotel ADR</t>
  </si>
  <si>
    <t xml:space="preserve">Hotel F&amp;B uplift</t>
  </si>
  <si>
    <t xml:space="preserve">Hotel turnover rent</t>
  </si>
  <si>
    <t xml:space="preserve">Events / expo / AGM hire</t>
  </si>
  <si>
    <t xml:space="preserve">Parking</t>
  </si>
  <si>
    <t xml:space="preserve">Outdoor vending</t>
  </si>
  <si>
    <t xml:space="preserve">Service charge, ads, fintech</t>
  </si>
  <si>
    <t xml:space="preserve">OPERATING</t>
  </si>
  <si>
    <t xml:space="preserve">Property opex (% of stabilised rent)</t>
  </si>
  <si>
    <t xml:space="preserve">Management fee (% of gross revenue)</t>
  </si>
  <si>
    <t xml:space="preserve">Property tax (% of assessed value)</t>
  </si>
  <si>
    <t xml:space="preserve">Bad debt (% of billed rent)</t>
  </si>
  <si>
    <t xml:space="preserve">Cloud infrastructure opex</t>
  </si>
  <si>
    <t xml:space="preserve">Rent escalation p.a.</t>
  </si>
  <si>
    <t xml:space="preserve">Opex escalation p.a.</t>
  </si>
  <si>
    <t xml:space="preserve">ADR growth p.a.</t>
  </si>
  <si>
    <t xml:space="preserve">Occupancy — Year 1</t>
  </si>
  <si>
    <t xml:space="preserve">Occupancy — Year 2</t>
  </si>
  <si>
    <t xml:space="preserve">Occupancy — stabilised</t>
  </si>
  <si>
    <t xml:space="preserve">Hotel occupancy — Year 1</t>
  </si>
  <si>
    <t xml:space="preserve">Hotel occupancy — Year 2</t>
  </si>
  <si>
    <t xml:space="preserve">Hotel occupancy — stabilised</t>
  </si>
  <si>
    <t xml:space="preserve">Dividend payout (% of PAT)</t>
  </si>
  <si>
    <t xml:space="preserve">TAX &amp; MACRO</t>
  </si>
  <si>
    <t xml:space="preserve">Corporate income tax</t>
  </si>
  <si>
    <t xml:space="preserve">VAT</t>
  </si>
  <si>
    <t xml:space="preserve">Tax depreciation - building pool</t>
  </si>
  <si>
    <t xml:space="preserve">Tax depreciation - plant &amp; machinery pool</t>
  </si>
  <si>
    <t xml:space="preserve">Dividend withholding</t>
  </si>
  <si>
    <t xml:space="preserve">Undistributed-profits tax</t>
  </si>
  <si>
    <t xml:space="preserve">Legal reserve (% of net profit)</t>
  </si>
  <si>
    <t xml:space="preserve">Loss carry-forward cap</t>
  </si>
  <si>
    <t xml:space="preserve">FX ETB/USD</t>
  </si>
  <si>
    <t xml:space="preserve">Discount rate (DCF hurdle)</t>
  </si>
  <si>
    <t xml:space="preserve">Cost of equity</t>
  </si>
  <si>
    <t xml:space="preserve">Terminal / exit cap rate</t>
  </si>
  <si>
    <t xml:space="preserve">ACCOUNTING LIVES</t>
  </si>
  <si>
    <t xml:space="preserve">Building useful life</t>
  </si>
  <si>
    <t xml:space="preserve">Specialist systems useful life</t>
  </si>
  <si>
    <t xml:space="preserve">FF&amp;E useful life</t>
  </si>
  <si>
    <t xml:space="preserve">AUDIT-ADDED — previously hard-coded inline (see cell comments)</t>
  </si>
  <si>
    <t xml:space="preserve">HQ plant/roof area (m2) — was hard-coded in AssetSplit!B10</t>
  </si>
  <si>
    <t xml:space="preserve">HQ plant/roof fit-out rate (ETB/m2) — was hard-coded in AssetSplit!B10</t>
  </si>
  <si>
    <t xml:space="preserve">HQ secondary fit-out area (m2) — was hard-coded in AssetSplit!B10</t>
  </si>
  <si>
    <t xml:space="preserve">HQ secondary fit-out rate (ETB/m2) — was hard-coded in AssetSplit!B10</t>
  </si>
  <si>
    <t xml:space="preserve">Equity IRR hurdle — was hard-coded only in Breakeven!B65/Sensitivity notes as 24%; no other source cell existed. CONFIRM SOURCE.</t>
  </si>
  <si>
    <t xml:space="preserve">Interest During Construction </t>
  </si>
  <si>
    <t xml:space="preserve">Month</t>
  </si>
  <si>
    <t xml:space="preserve">S-curve draw</t>
  </si>
  <si>
    <t xml:space="preserve">Civils spend</t>
  </si>
  <si>
    <t xml:space="preserve">FF&amp;E + pre-open</t>
  </si>
  <si>
    <t xml:space="preserve">Arr. fee</t>
  </si>
  <si>
    <t xml:space="preserve">Opening debt</t>
  </si>
  <si>
    <t xml:space="preserve">Interest</t>
  </si>
  <si>
    <t xml:space="preserve">Debt draw</t>
  </si>
  <si>
    <t xml:space="preserve">Closing debt</t>
  </si>
  <si>
    <t xml:space="preserve">TOTAL</t>
  </si>
  <si>
    <t xml:space="preserve">Development Cost / Capex</t>
  </si>
  <si>
    <t xml:space="preserve">ETB</t>
  </si>
  <si>
    <t xml:space="preserve">% of capex</t>
  </si>
  <si>
    <t xml:space="preserve">Note</t>
  </si>
  <si>
    <t xml:space="preserve">Construction works (BOQ A–J)</t>
  </si>
  <si>
    <t xml:space="preserve">Sum of the 10 BOQ elements</t>
  </si>
  <si>
    <t xml:space="preserve">In-house design @2%</t>
  </si>
  <si>
    <t xml:space="preserve">TDOMA staff cost, capitalised per IAS 16.17(a); general overhead excluded per IAS 16.19(d)</t>
  </si>
  <si>
    <t xml:space="preserve">Industry norm, not a vendor quotation — specialist systems need external design</t>
  </si>
  <si>
    <t xml:space="preserve">Contingency @12%</t>
  </si>
  <si>
    <t xml:space="preserve">On construction + design + specialist</t>
  </si>
  <si>
    <t xml:space="preserve">Capital works</t>
  </si>
  <si>
    <t xml:space="preserve">Common areas + HQ + hire-out venues. Operator fits out hotel; tenants fit out demises.</t>
  </si>
  <si>
    <t xml:space="preserve">IDC (IAS 23, capitalised)</t>
  </si>
  <si>
    <t xml:space="preserve">SOLVED monthly on the IDC sheet — model is fully ACYCLIC, no iteration needed (see Cover)</t>
  </si>
  <si>
    <t xml:space="preserve">Arrangement fee @1.5%</t>
  </si>
  <si>
    <t xml:space="preserve">Borrowing cost — IAS 23</t>
  </si>
  <si>
    <t xml:space="preserve">Building sub-total (CASH)</t>
  </si>
  <si>
    <t xml:space="preserve">Land (in-kind, NON-CASH)</t>
  </si>
  <si>
    <t xml:space="preserve">TOTAL CAPEX / DEVELOPMENT COST</t>
  </si>
  <si>
    <t xml:space="preserve">TOTAL USES</t>
  </si>
  <si>
    <t xml:space="preserve">FUNDING</t>
  </si>
  <si>
    <t xml:space="preserve">Cash requirement (ex-land)</t>
  </si>
  <si>
    <t xml:space="preserve">TDOMA equity (75% of cash)</t>
  </si>
  <si>
    <t xml:space="preserve">City land (in-kind, non-cash)</t>
  </si>
  <si>
    <t xml:space="preserve">Debt (25% of cash)</t>
  </si>
  <si>
    <t xml:space="preserve">TOTAL SOURCES</t>
  </si>
  <si>
    <t xml:space="preserve">CHECK: Sources − Uses</t>
  </si>
  <si>
    <t xml:space="preserve">Input VAT recoverable on capex (refunded in year 1)</t>
  </si>
  <si>
    <t xml:space="preserve">Memo — USD @160</t>
  </si>
  <si>
    <t xml:space="preserve">Capex per gross m2</t>
  </si>
  <si>
    <t xml:space="preserve">EFFECTIVE capex per TDOMA gross m2 (70%)</t>
  </si>
  <si>
    <t xml:space="preserve">Revenue — stabilised &amp; ramped</t>
  </si>
  <si>
    <t xml:space="preserve">Operating year</t>
  </si>
  <si>
    <t xml:space="preserve">m2</t>
  </si>
  <si>
    <t xml:space="preserve">ETB/m2/mo</t>
  </si>
  <si>
    <t xml:space="preserve">Occ %</t>
  </si>
  <si>
    <t xml:space="preserve">O1</t>
  </si>
  <si>
    <t xml:space="preserve">O2</t>
  </si>
  <si>
    <t xml:space="preserve">O3</t>
  </si>
  <si>
    <t xml:space="preserve">O4</t>
  </si>
  <si>
    <t xml:space="preserve">O5</t>
  </si>
  <si>
    <t xml:space="preserve">O6</t>
  </si>
  <si>
    <t xml:space="preserve">O7</t>
  </si>
  <si>
    <t xml:space="preserve">O8</t>
  </si>
  <si>
    <t xml:space="preserve">O9</t>
  </si>
  <si>
    <t xml:space="preserve">O10</t>
  </si>
  <si>
    <t xml:space="preserve">O11</t>
  </si>
  <si>
    <t xml:space="preserve">O12</t>
  </si>
  <si>
    <t xml:space="preserve">Rent escalation factor</t>
  </si>
  <si>
    <t xml:space="preserve">Occupancy ramp factor</t>
  </si>
  <si>
    <t xml:space="preserve">RENTAL INCOME   =  m2 x rate x 12 x occupancy x ramp x escalation</t>
  </si>
  <si>
    <t xml:space="preserve">Retail - retained 25%</t>
  </si>
  <si>
    <t xml:space="preserve">Wholesale showrooms</t>
  </si>
  <si>
    <t xml:space="preserve">Food hall / F&amp;B</t>
  </si>
  <si>
    <t xml:space="preserve">Commercial office (L6-L8)</t>
  </si>
  <si>
    <t xml:space="preserve">Trade services (ex one-stop)</t>
  </si>
  <si>
    <t xml:space="preserve">Rooftop F&amp;B / pavilion</t>
  </si>
  <si>
    <t xml:space="preserve">Basement warehouse (B2/B3)</t>
  </si>
  <si>
    <t xml:space="preserve">Rental subtotal (NET of VAT)</t>
  </si>
  <si>
    <t xml:space="preserve">Stabilised rent at O1 prices, NET (no ramp, no escalation)</t>
  </si>
  <si>
    <t xml:space="preserve">OTHER REVENUE (all NET of VAT — see the Output VAT memo row below)</t>
  </si>
  <si>
    <t xml:space="preserve">Key money (IFRS 16 lease premium - deferred over 10 yrs)</t>
  </si>
  <si>
    <t xml:space="preserve">Retail unit sales (IFRS 15 - point in time, at handover)</t>
  </si>
  <si>
    <t xml:space="preserve">Operator hotel revenue  (MEMO - the operator's, NOT TDOMA's; GROSS, no VAT extraction here)</t>
  </si>
  <si>
    <t xml:space="preserve">Hotel turnover rent (IFRS 16 variable lease payment, NET of VAT)</t>
  </si>
  <si>
    <t xml:space="preserve">Other income (events + parking + vending + service charge), NET of VAT</t>
  </si>
  <si>
    <t xml:space="preserve">TOTAL REVENUE (net of output VAT — IFRS 15.47)</t>
  </si>
  <si>
    <t xml:space="preserve">Operating Expenses</t>
  </si>
  <si>
    <t xml:space="preserve">Rate</t>
  </si>
  <si>
    <t xml:space="preserve">Driver</t>
  </si>
  <si>
    <t xml:space="preserve">Opex escalation factor</t>
  </si>
  <si>
    <t xml:space="preserve">OPERATING EXPENSES</t>
  </si>
  <si>
    <t xml:space="preserve">Property opex (NET of recoverable input VAT)</t>
  </si>
  <si>
    <t xml:space="preserve">x stabilised rent, escalated, /(1+VAT_R)</t>
  </si>
  <si>
    <t xml:space="preserve">Management fee</t>
  </si>
  <si>
    <t xml:space="preserve">x NET revenue (a computed %, not a quoted gross price -- no VAT extraction)</t>
  </si>
  <si>
    <t xml:space="preserve">Bad debt</t>
  </si>
  <si>
    <t xml:space="preserve">x billed rent; a write-off, not a supply, no VAT</t>
  </si>
  <si>
    <t xml:space="preserve">Hotel operating cost</t>
  </si>
  <si>
    <t xml:space="preserve">NIL - operator bears it</t>
  </si>
  <si>
    <t xml:space="preserve">Cloud infrastructure opex (NET of recoverable input VAT)</t>
  </si>
  <si>
    <t xml:space="preserve">replaces on-site data centre; escalated, /(1+VAT_R)</t>
  </si>
  <si>
    <t xml:space="preserve">Property tax</t>
  </si>
  <si>
    <t xml:space="preserve">x market value proxy (ESTIMATE: NOI excl. ptax, capitalised @ exit cap); a levy, no VAT</t>
  </si>
  <si>
    <t xml:space="preserve">  memo: input VAT recovered (property opex + cloud)</t>
  </si>
  <si>
    <t xml:space="preserve">TOTAL OPEX (net)</t>
  </si>
  <si>
    <t xml:space="preserve">Loan Amortisation &amp; Covenant</t>
  </si>
  <si>
    <t xml:space="preserve">Loan drawn at completion</t>
  </si>
  <si>
    <t xml:space="preserve">Amortisation period (tenor - grace)</t>
  </si>
  <si>
    <t xml:space="preserve">Annuity (level debt service)</t>
  </si>
  <si>
    <t xml:space="preserve">LOAN SCHEDULE</t>
  </si>
  <si>
    <t xml:space="preserve">Opening balance</t>
  </si>
  <si>
    <t xml:space="preserve">Principal</t>
  </si>
  <si>
    <t xml:space="preserve">Closing balance</t>
  </si>
  <si>
    <t xml:space="preserve">Debt service</t>
  </si>
  <si>
    <t xml:space="preserve">COVENANT</t>
  </si>
  <si>
    <t xml:space="preserve">CFADS (EBITDA + non-cash COS + key money cash - current tax)</t>
  </si>
  <si>
    <t xml:space="preserve">DSCR</t>
  </si>
  <si>
    <t xml:space="preserve">Covenant test</t>
  </si>
  <si>
    <t xml:space="preserve">Capex allocation </t>
  </si>
  <si>
    <t xml:space="preserve">ALLOCATION SHARES</t>
  </si>
  <si>
    <t xml:space="preserve">Sold retail share of net GLA</t>
  </si>
  <si>
    <t xml:space="preserve">Retained share</t>
  </si>
  <si>
    <t xml:space="preserve">HQ share of net GLA</t>
  </si>
  <si>
    <t xml:space="preserve">Capex excluding FF&amp;E</t>
  </si>
  <si>
    <t xml:space="preserve">CARRYING AMOUNTS AT COMPLETION (GROSS, before VAT exclusion)</t>
  </si>
  <si>
    <t xml:space="preserve">Inventory (IAS 2) - retail units for sale</t>
  </si>
  <si>
    <t xml:space="preserve">PPE (IAS 16) - TDOMA HQ</t>
  </si>
  <si>
    <t xml:space="preserve">Investment property (IAS 40)</t>
  </si>
  <si>
    <t xml:space="preserve">CHECK: sum = total capex</t>
  </si>
  <si>
    <t xml:space="preserve">RECOVERABLE INPUT VAT — excluded from capitalised cost (IAS 16.16(c), audit V2-08)</t>
  </si>
  <si>
    <t xml:space="preserve">Input VAT recoverable on capex</t>
  </si>
  <si>
    <t xml:space="preserve">Vatable base for allocation (excl. land)</t>
  </si>
  <si>
    <t xml:space="preserve">CARRYING AMOUNTS AT COMPLETION (NET of recoverable VAT)</t>
  </si>
  <si>
    <t xml:space="preserve">Inventory (IAS 2), net</t>
  </si>
  <si>
    <t xml:space="preserve">PPE (IAS 16), net - TDOMA HQ</t>
  </si>
  <si>
    <t xml:space="preserve">Investment property (IAS 40), net</t>
  </si>
  <si>
    <t xml:space="preserve">CHECK: sum = capex − recoverable VAT</t>
  </si>
  <si>
    <t xml:space="preserve">DEPRECIABLE COMPONENTS (retained only, GROSS)</t>
  </si>
  <si>
    <t xml:space="preserve">Land - retained share</t>
  </si>
  <si>
    <t xml:space="preserve">Specialist systems - retained</t>
  </si>
  <si>
    <t xml:space="preserve">FF&amp;E</t>
  </si>
  <si>
    <t xml:space="preserve">Building - retained</t>
  </si>
  <si>
    <t xml:space="preserve">Kept-portion vatable base</t>
  </si>
  <si>
    <t xml:space="preserve">VAT attributable to the kept (retained) portion</t>
  </si>
  <si>
    <t xml:space="preserve">DEPRECIABLE COMPONENTS (retained only, NET of VAT)</t>
  </si>
  <si>
    <t xml:space="preserve">Specialist systems - retained, net</t>
  </si>
  <si>
    <t xml:space="preserve">FF&amp;E, net</t>
  </si>
  <si>
    <t xml:space="preserve">Building - retained, net</t>
  </si>
  <si>
    <t xml:space="preserve">Annual depreciation</t>
  </si>
  <si>
    <t xml:space="preserve">TAX BASE — two SEPARATE pools (audit TAX-02: a single blended rate is not permitted)</t>
  </si>
  <si>
    <t xml:space="preserve">Building tax pool (straight-line)</t>
  </si>
  <si>
    <t xml:space="preserve">Annual tax depreciation - building</t>
  </si>
  <si>
    <t xml:space="preserve">Plant &amp; machinery tax pool (specialist systems + FF&amp;E)</t>
  </si>
  <si>
    <t xml:space="preserve">Tax depreciation rate - plant &amp; machinery</t>
  </si>
  <si>
    <t xml:space="preserve">ANNUAL DEPRECIATION SCHEDULE — component-life aware (AUDIT FIX)</t>
  </si>
  <si>
    <t xml:space="preserve">Year index</t>
  </si>
  <si>
    <t xml:space="preserve">Building depreciation (life 50yr — unaffected)</t>
  </si>
  <si>
    <t xml:space="preserve">Specialist systems depreciation (life 15yr — unaffected)</t>
  </si>
  <si>
    <t xml:space="preserve">FF&amp;E depreciation (life 7yr — CAPPED, was uncapped)</t>
  </si>
  <si>
    <t xml:space="preserve">TOTAL ANNUAL DEPRECIATION</t>
  </si>
  <si>
    <t xml:space="preserve">Cumulative depreciation to date</t>
  </si>
  <si>
    <t xml:space="preserve">Profit &amp; Loss</t>
  </si>
  <si>
    <t xml:space="preserve">Rental income</t>
  </si>
  <si>
    <t xml:space="preserve">Key money (IFRS 16 premium)</t>
  </si>
  <si>
    <t xml:space="preserve">Retail unit sales (IFRS 15)</t>
  </si>
  <si>
    <t xml:space="preserve">Hotel turnover rent (IFRS 16)</t>
  </si>
  <si>
    <t xml:space="preserve">Other income</t>
  </si>
  <si>
    <t xml:space="preserve">REVENUE</t>
  </si>
  <si>
    <t xml:space="preserve">Cost of sales (IAS 2)</t>
  </si>
  <si>
    <t xml:space="preserve">GROSS PROFIT</t>
  </si>
  <si>
    <t xml:space="preserve">Operating expenses</t>
  </si>
  <si>
    <t xml:space="preserve">EBITDA</t>
  </si>
  <si>
    <t xml:space="preserve">Depreciation</t>
  </si>
  <si>
    <t xml:space="preserve">EBIT</t>
  </si>
  <si>
    <t xml:space="preserve">Finance cost</t>
  </si>
  <si>
    <t xml:space="preserve">PBT</t>
  </si>
  <si>
    <t xml:space="preserve">Current tax</t>
  </si>
  <si>
    <t xml:space="preserve">Deferred tax</t>
  </si>
  <si>
    <t xml:space="preserve">Undistributed-profits tax (15%, on profit retained)</t>
  </si>
  <si>
    <t xml:space="preserve">PAT</t>
  </si>
  <si>
    <t xml:space="preserve">Tax Computation - current &amp; deferred (IAS 12)</t>
  </si>
  <si>
    <t xml:space="preserve">PBT (from P&amp;L)</t>
  </si>
  <si>
    <t xml:space="preserve">Add back: accounting depreciation</t>
  </si>
  <si>
    <t xml:space="preserve">Less: tax depreciation - building pool (straight-line)</t>
  </si>
  <si>
    <t xml:space="preserve">Less: tax depreciation - plant &amp; machinery pool (diminishing value)</t>
  </si>
  <si>
    <t xml:space="preserve">Less: tax depreciation (total)</t>
  </si>
  <si>
    <t xml:space="preserve">Taxable profit before losses</t>
  </si>
  <si>
    <t xml:space="preserve">New loss originated this year</t>
  </si>
  <si>
    <t xml:space="preserve">Capacity available before any carried loss</t>
  </si>
  <si>
    <t xml:space="preserve">Loss bucket, age 1yr - closing balance</t>
  </si>
  <si>
    <t xml:space="preserve">Capacity remaining after using age 1yr bucket</t>
  </si>
  <si>
    <t xml:space="preserve">Loss bucket, age 2yr - closing balance</t>
  </si>
  <si>
    <t xml:space="preserve">Capacity remaining after using age 2yr bucket</t>
  </si>
  <si>
    <t xml:space="preserve">Loss bucket, age 3yr - closing balance</t>
  </si>
  <si>
    <t xml:space="preserve">Capacity remaining after using age 3yr bucket</t>
  </si>
  <si>
    <t xml:space="preserve">Loss bucket, age 4yr - closing balance</t>
  </si>
  <si>
    <t xml:space="preserve">Capacity remaining after using age 4yr bucket</t>
  </si>
  <si>
    <t xml:space="preserve">Taxable profit</t>
  </si>
  <si>
    <t xml:space="preserve">CURRENT TAX @30%</t>
  </si>
  <si>
    <t xml:space="preserve">DEFERRED TAX (IAS 12)</t>
  </si>
  <si>
    <t xml:space="preserve">Accounting NBV (IP + PPE)</t>
  </si>
  <si>
    <t xml:space="preserve">Tax WDV - building pool</t>
  </si>
  <si>
    <t xml:space="preserve">Tax WDV - plant &amp; machinery pool</t>
  </si>
  <si>
    <t xml:space="preserve">Tax written-down value (total)</t>
  </si>
  <si>
    <t xml:space="preserve">Temporary difference</t>
  </si>
  <si>
    <t xml:space="preserve">Deferred tax liability (closing)</t>
  </si>
  <si>
    <t xml:space="preserve">DEFERRED TAX CHARGE (movement)</t>
  </si>
  <si>
    <t xml:space="preserve">UNDISTRIBUTED-PROFITS TAX (Proc. 1395/2025)</t>
  </si>
  <si>
    <t xml:space="preserve">Profit before undistributed-profits tax</t>
  </si>
  <si>
    <t xml:space="preserve">Closed form: div=payout*PAT and undist_tax=(PAT-div)*rate both depend on PAT, but solving algebraically avoids any circularity -- year 1 has payout=0 (no dividend yet), so 100% of year-1 profit is 'retained' for this purpose.</t>
  </si>
  <si>
    <t xml:space="preserve">Cash Flow Statement (IAS 7)</t>
  </si>
  <si>
    <t xml:space="preserve">Add back non-cash cost of sales</t>
  </si>
  <si>
    <t xml:space="preserve">Key money received (cash, at inception)</t>
  </si>
  <si>
    <t xml:space="preserve">Less key money recognised in revenue</t>
  </si>
  <si>
    <t xml:space="preserve">Current tax paid</t>
  </si>
  <si>
    <t xml:space="preserve">Undistributed-profits tax paid</t>
  </si>
  <si>
    <t xml:space="preserve">Input VAT refund on capex (O1 only)</t>
  </si>
  <si>
    <t xml:space="preserve">NET OPERATING CASH FLOW</t>
  </si>
  <si>
    <t xml:space="preserve">Debt service (interest + principal)</t>
  </si>
  <si>
    <t xml:space="preserve">Dividends paid</t>
  </si>
  <si>
    <t xml:space="preserve">  memo: dividend WHT withheld </t>
  </si>
  <si>
    <t xml:space="preserve">NET FINANCING CASH FLOW</t>
  </si>
  <si>
    <t xml:space="preserve">NET MOVEMENT IN CASH</t>
  </si>
  <si>
    <t xml:space="preserve">Opening cash</t>
  </si>
  <si>
    <t xml:space="preserve">CLOSING CASH</t>
  </si>
  <si>
    <t xml:space="preserve">CFADS (for DSCR)</t>
  </si>
  <si>
    <t xml:space="preserve">Balance Sheet</t>
  </si>
  <si>
    <t xml:space="preserve">ASSETS</t>
  </si>
  <si>
    <t xml:space="preserve">PPE (IAS 16), net</t>
  </si>
  <si>
    <t xml:space="preserve">Inventory (IAS 2)</t>
  </si>
  <si>
    <t xml:space="preserve">Cash</t>
  </si>
  <si>
    <t xml:space="preserve">TOTAL ASSETS</t>
  </si>
  <si>
    <t xml:space="preserve">LIABILITIES</t>
  </si>
  <si>
    <t xml:space="preserve">Debt</t>
  </si>
  <si>
    <t xml:space="preserve">Deferred revenue (key money)</t>
  </si>
  <si>
    <t xml:space="preserve">Deferred tax liability</t>
  </si>
  <si>
    <t xml:space="preserve">TOTAL LIABILITIES</t>
  </si>
  <si>
    <t xml:space="preserve">EQUITY</t>
  </si>
  <si>
    <t xml:space="preserve">TDOMA equity (cash contributed)</t>
  </si>
  <si>
    <t xml:space="preserve">NCI - City land contributed in-kind</t>
  </si>
  <si>
    <t xml:space="preserve">Legal reserve (Commercial Code Art. 434)</t>
  </si>
  <si>
    <t xml:space="preserve">Retained earnings </t>
  </si>
  <si>
    <t xml:space="preserve">TOTAL EQUITY</t>
  </si>
  <si>
    <t xml:space="preserve">TOTAL EQUITY &amp; LIABILITIES</t>
  </si>
  <si>
    <t xml:space="preserve">CHECK: assets - (equity + liabilities)</t>
  </si>
  <si>
    <t xml:space="preserve">VAT Schedule</t>
  </si>
  <si>
    <t xml:space="preserve">OUTPUT VAT — on revenue (extracted from GROSS quoted rates; IFRS 15.47)</t>
  </si>
  <si>
    <t xml:space="preserve">Output VAT collected</t>
  </si>
  <si>
    <t xml:space="preserve">INPUT VAT — recoverable</t>
  </si>
  <si>
    <t xml:space="preserve">Input VAT recovered (opex: property + cloud)</t>
  </si>
  <si>
    <t xml:space="preserve">Input VAT recovered (capex, O1 only — credited to opening equity, not this cash line)</t>
  </si>
  <si>
    <t xml:space="preserve">TOTAL INPUT VAT RECOVERED (operating only, per note in row 9)</t>
  </si>
  <si>
    <t xml:space="preserve">NET POSITION</t>
  </si>
  <si>
    <t xml:space="preserve">NET VAT (+ = due to tax authority, − = refund due)</t>
  </si>
  <si>
    <t xml:space="preserve">Memo — total incl. one-off capex VAT refund (informational only)</t>
  </si>
  <si>
    <t xml:space="preserve">NET VAT incl. capex refund (memo)</t>
  </si>
  <si>
    <t xml:space="preserve">Integrity Checks</t>
  </si>
  <si>
    <t xml:space="preserve">Check</t>
  </si>
  <si>
    <t xml:space="preserve">Status</t>
  </si>
  <si>
    <t xml:space="preserve">Type</t>
  </si>
  <si>
    <t xml:space="preserve">Balance sheet balances, every year</t>
  </si>
  <si>
    <t xml:space="preserve">Sum of |assets - E&amp;L| across all 12 years</t>
  </si>
  <si>
    <t xml:space="preserve">Independent</t>
  </si>
  <si>
    <t xml:space="preserve">Cash flow closing cash = balance-sheet cash</t>
  </si>
  <si>
    <t xml:space="preserve">IAS 7 ties to BS</t>
  </si>
  <si>
    <t xml:space="preserve">Sources = Uses</t>
  </si>
  <si>
    <t xml:space="preserve">Capex sheet funding check</t>
  </si>
  <si>
    <t xml:space="preserve">Capex splits to IAS 2 / IAS 40 / IAS 16 without leakage (net of recoverable VAT)</t>
  </si>
  <si>
    <t xml:space="preserve">Inventory + PPE + IP = capex − recoverable VAT</t>
  </si>
  <si>
    <t xml:space="preserve">Structural — IP is a residual (capex less the other two) by definition; cannot fail without a coding error</t>
  </si>
  <si>
    <t xml:space="preserve">Debt fully repaid within tenor</t>
  </si>
  <si>
    <t xml:space="preserve">Closing balance at end of amortisation</t>
  </si>
  <si>
    <t xml:space="preserve">Sum of principal = debt drawn</t>
  </si>
  <si>
    <t xml:space="preserve">No leakage in the loan schedule</t>
  </si>
  <si>
    <t xml:space="preserve">Structural — the annuity is solved to amortise exactly this amount</t>
  </si>
  <si>
    <t xml:space="preserve">Inventory fully released to cost of sales</t>
  </si>
  <si>
    <t xml:space="preserve">All units sold at handover</t>
  </si>
  <si>
    <t xml:space="preserve">Structural — cost of sales is defined as the full inventory balance at O1</t>
  </si>
  <si>
    <t xml:space="preserve">Key-money deferred revenue released by O10</t>
  </si>
  <si>
    <t xml:space="preserve">10-yr lease premium fully recognised</t>
  </si>
  <si>
    <t xml:space="preserve">Structural — the release schedule divides by exactly 10 years</t>
  </si>
  <si>
    <t xml:space="preserve">Land NOT depreciated (IAS 16.58)</t>
  </si>
  <si>
    <t xml:space="preserve">Depreciation excludes the land line</t>
  </si>
  <si>
    <t xml:space="preserve">Revenue areas reconcile to net GLA + warehouse</t>
  </si>
  <si>
    <t xml:space="preserve">Lettable (incl. warehouse) + sold + hotel + events + non-earning = 21,004 + 6,000</t>
  </si>
  <si>
    <t xml:space="preserve">DSCR &gt;= covenant every period</t>
  </si>
  <si>
    <t xml:space="preserve">EXPECTED FAIL - a genuine finding, not a defect. See Dashboard.</t>
  </si>
  <si>
    <t xml:space="preserve">Cash never negative</t>
  </si>
  <si>
    <t xml:space="preserve">IAS 36: carrying value &lt;= value in use, every year (no impairment)</t>
  </si>
  <si>
    <t xml:space="preserve">Value in use exceeds carrying amount every year.</t>
  </si>
  <si>
    <t xml:space="preserve">CHECKS PASSING</t>
  </si>
  <si>
    <t xml:space="preserve">Tax &amp; Law Register</t>
  </si>
  <si>
    <t xml:space="preserve">Statutory source</t>
  </si>
  <si>
    <t xml:space="preserve">Effective</t>
  </si>
  <si>
    <t xml:space="preserve">Confidence</t>
  </si>
  <si>
    <t xml:space="preserve">Income Tax Proclamation No. 979/2016</t>
  </si>
  <si>
    <t xml:space="preserve">In force</t>
  </si>
  <si>
    <t xml:space="preserve">MED</t>
  </si>
  <si>
    <t xml:space="preserve">Headline 30%; applied in Tax sheet</t>
  </si>
  <si>
    <t xml:space="preserve">VAT Proclamation No. 1341/2024; Regulation No. 570/2025</t>
  </si>
  <si>
    <t xml:space="preserve">2024/2025</t>
  </si>
  <si>
    <t xml:space="preserve">See VAT sheet — output/input</t>
  </si>
  <si>
    <t xml:space="preserve">5% SL; drives deferred tax</t>
  </si>
  <si>
    <t xml:space="preserve">Income Tax Proclamation No. 979/2016 — pool/diminishing-value method</t>
  </si>
  <si>
    <t xml:space="preserve">21 Jul 2026</t>
  </si>
  <si>
    <t xml:space="preserve">LOW</t>
  </si>
  <si>
    <t xml:space="preserve">Specialist systems + FF&amp;E; rate to confirm with tax counsel</t>
  </si>
  <si>
    <t xml:space="preserve">HIGH</t>
  </si>
  <si>
    <t xml:space="preserve">15% standard; exempt for a resident corporate holder of &gt;=12.5% with control (TDOMA's 70%)</t>
  </si>
  <si>
    <t xml:space="preserve">Proclamation No. 1395/2025</t>
  </si>
  <si>
    <t xml:space="preserve">15% on PAT retained (not distributed) each year</t>
  </si>
  <si>
    <t xml:space="preserve">Property Tax Proclamation No. 1365/2025</t>
  </si>
  <si>
    <t xml:space="preserve">2025</t>
  </si>
  <si>
    <t xml:space="preserve">Assessed-value base to be confirmed with assessor</t>
  </si>
  <si>
    <t xml:space="preserve">Financial reporting framework</t>
  </si>
  <si>
    <t xml:space="preserve">IFRS</t>
  </si>
  <si>
    <t xml:space="preserve">Financial Reporting Proclamation No. 847/2014 (AABE)</t>
  </si>
  <si>
    <t xml:space="preserve">Full IFRS mandated</t>
  </si>
  <si>
    <t xml:space="preserve">Capital markets</t>
  </si>
  <si>
    <t xml:space="preserve">n/a</t>
  </si>
  <si>
    <t xml:space="preserve">Capital Market Proclamation No. 1248/2021; ECMA Directive 1030/2024</t>
  </si>
  <si>
    <t xml:space="preserve">2021/2024</t>
  </si>
  <si>
    <t xml:space="preserve">Model must support a prospectus</t>
  </si>
  <si>
    <t xml:space="preserve">PPP framework</t>
  </si>
  <si>
    <t xml:space="preserve">PPP Proclamation No. 1076/2018 as amended by 1283/2023</t>
  </si>
  <si>
    <t xml:space="preserve">2018/2023</t>
  </si>
  <si>
    <t xml:space="preserve">70/30 structure; land in-kind</t>
  </si>
  <si>
    <t xml:space="preserve">Related-party transactions</t>
  </si>
  <si>
    <t xml:space="preserve">Commercial Code (Trade Registration and Business Licensing) Art. 395</t>
  </si>
  <si>
    <t xml:space="preserve">OUTSTANDING: the 1,684,800,000 ETB retail sale to shareholder-merchants has NO recorded board/shareholder approval, auditor's report, or MoTI filing on file. Under Art. 395(6) the sale remains legally VOIDABLE until obtained -- this is a legal/governance action, not something a model can fix; flagged here so it is not lost.</t>
  </si>
  <si>
    <t xml:space="preserve">Legal reserve</t>
  </si>
  <si>
    <t xml:space="preserve">Commercial Code Art. 434</t>
  </si>
  <si>
    <t xml:space="preserve">5% of net profit until the reserve reaches 5% of paid-in capital — see ChangesInEquity sheet</t>
  </si>
  <si>
    <t xml:space="preserve">IFRS TREATMENTS APPLIED</t>
  </si>
  <si>
    <t xml:space="preserve">IFRS 15</t>
  </si>
  <si>
    <t xml:space="preserve">Retail unit sales - POINT IN TIME at handover. Sale is after construction, so no enforceable right to payment for work done.</t>
  </si>
  <si>
    <t xml:space="preserve">IAS 2</t>
  </si>
  <si>
    <t xml:space="preserve">Retail units for sale = inventory. Carrying amount -&gt; cost of sales on handover. See AssetSplit.</t>
  </si>
  <si>
    <t xml:space="preserve">IAS 40</t>
  </si>
  <si>
    <t xml:space="preserve">Retained let space = investment property, COST model (audit-friendly default).</t>
  </si>
  <si>
    <t xml:space="preserve">IFRS 16 (lessor)</t>
  </si>
  <si>
    <t xml:space="preserve">Tenant rents; hotel turnover rent = variable lease payment, recognised as earned; key money = lease premium, deferred.</t>
  </si>
  <si>
    <t xml:space="preserve">IAS 16</t>
  </si>
  <si>
    <t xml:space="preserve">TDOMA HQ owner-occupied = PPE. 16.17(a) capitalises in-house design; 16.19(b)/(c) FORBID capitalising pre-opening.</t>
  </si>
  <si>
    <t xml:space="preserve">IAS 23</t>
  </si>
  <si>
    <t xml:space="preserve">IDC capitalised into the qualifying asset during construction. Arrangement fee is a borrowing cost.</t>
  </si>
  <si>
    <t xml:space="preserve">IAS 12</t>
  </si>
  <si>
    <t xml:space="preserve">Deferred tax on the gap between accounting NBV and tax WDV. See Tax sheet.</t>
  </si>
  <si>
    <t xml:space="preserve">IAS 16.58</t>
  </si>
  <si>
    <t xml:space="preserve">Land NOT depreciated.</t>
  </si>
  <si>
    <t xml:space="preserve">DCF &amp; Investment Metrics</t>
  </si>
  <si>
    <t xml:space="preserve">Period</t>
  </si>
  <si>
    <t xml:space="preserve">C1</t>
  </si>
  <si>
    <t xml:space="preserve">C2</t>
  </si>
  <si>
    <t xml:space="preserve">C3</t>
  </si>
  <si>
    <t xml:space="preserve">S-curve draw (construction)</t>
  </si>
  <si>
    <t xml:space="preserve">Project cash flow</t>
  </si>
  <si>
    <t xml:space="preserve">Equity cash flow (TDOMA: own cash in, 70% share out)</t>
  </si>
  <si>
    <t xml:space="preserve">TERMINAL VALUE &amp; METRICS</t>
  </si>
  <si>
    <t xml:space="preserve">Stabilised NOI (O3 EBITDA)</t>
  </si>
  <si>
    <t xml:space="preserve">Terminal value @ exit cap</t>
  </si>
  <si>
    <t xml:space="preserve">Project NPV @ 20%</t>
  </si>
  <si>
    <t xml:space="preserve">Project IRR</t>
  </si>
  <si>
    <t xml:space="preserve">Equity NPV @ 20%</t>
  </si>
  <si>
    <t xml:space="preserve">Equity IRR</t>
  </si>
  <si>
    <t xml:space="preserve">Yield on cost (stab. NOI / capex)</t>
  </si>
  <si>
    <t xml:space="preserve">Equity MoIC</t>
  </si>
  <si>
    <t xml:space="preserve">Gearing at COD (debt / capex)</t>
  </si>
  <si>
    <t xml:space="preserve">Minimum DSCR</t>
  </si>
  <si>
    <t xml:space="preserve">Average DSCR</t>
  </si>
  <si>
    <t xml:space="preserve">GDV vs COST  (is the project viable?)</t>
  </si>
  <si>
    <t xml:space="preserve">GDV - retained (stab. NOI @ exit cap)</t>
  </si>
  <si>
    <t xml:space="preserve">GDV - sold retail</t>
  </si>
  <si>
    <t xml:space="preserve">TOTAL GDV</t>
  </si>
  <si>
    <t xml:space="preserve">TOTAL CAPEX</t>
  </si>
  <si>
    <t xml:space="preserve">DEVELOPMENT MARGIN</t>
  </si>
  <si>
    <t xml:space="preserve">PROFIT ON COST</t>
  </si>
  <si>
    <t xml:space="preserve">EFFECTIVE capex per TDOMA net GLA m2</t>
  </si>
  <si>
    <t xml:space="preserve">IAS 36 IMPAIRMENT TEST (audit-confirmed gap: no test previously existed)</t>
  </si>
  <si>
    <t xml:space="preserve">Year</t>
  </si>
  <si>
    <t xml:space="preserve">Carrying amount (IP + PPE, NBV)</t>
  </si>
  <si>
    <t xml:space="preserve">Value in use (PV of future cash flows + TV, disc. @ hurdle)</t>
  </si>
  <si>
    <t xml:space="preserve">Headroom (VIU - carrying)</t>
  </si>
  <si>
    <t xml:space="preserve">Impairment indicated?</t>
  </si>
  <si>
    <t xml:space="preserve">Value in use uses the SAME DCF machinery as the project return above, evaluated at each year-end instead of only at t=0. No impairment charge is booked in the P&amp;L/BS even where indicated -- this is the TEST; a genuine write-down would need separate modelling if triggered.</t>
  </si>
  <si>
    <t xml:space="preserve">Payback Period</t>
  </si>
  <si>
    <t xml:space="preserve">Project cash flow (excl. terminal value)</t>
  </si>
  <si>
    <t xml:space="preserve">Cumulative project cash flow</t>
  </si>
  <si>
    <t xml:space="preserve">Discounted project CF @ DISC</t>
  </si>
  <si>
    <t xml:space="preserve">Cumulative discounted project CF</t>
  </si>
  <si>
    <t xml:space="preserve">SIMPLE PAYBACK — PROJECT BASIS</t>
  </si>
  <si>
    <t xml:space="preserve">Crossing period (index, 1 = C1)</t>
  </si>
  <si>
    <t xml:space="preserve">Cumulative CF at prior period</t>
  </si>
  <si>
    <t xml:space="preserve">Cash flow at crossing period</t>
  </si>
  <si>
    <t xml:space="preserve">Fractional recovery in crossing period</t>
  </si>
  <si>
    <t xml:space="preserve">PAYBACK PERIOD (years)</t>
  </si>
  <si>
    <t xml:space="preserve">DISCOUNTED PAYBACK — PROJECT BASIS @ DISC</t>
  </si>
  <si>
    <t xml:space="preserve">EQUITY BASIS</t>
  </si>
  <si>
    <t xml:space="preserve">Equity cash flow (excl. terminal value share)</t>
  </si>
  <si>
    <t xml:space="preserve">Cumulative equity cash flow</t>
  </si>
  <si>
    <t xml:space="preserve">Discounted equity CF @ COE</t>
  </si>
  <si>
    <t xml:space="preserve">Cumulative discounted equity CF</t>
  </si>
  <si>
    <t xml:space="preserve">SIMPLE PAYBACK — EQUITY BASIS</t>
  </si>
  <si>
    <t xml:space="preserve">DISCOUNTED PAYBACK — EQUITY BASIS @ COE</t>
  </si>
  <si>
    <t xml:space="preserve">Break-even Analysis</t>
  </si>
  <si>
    <t xml:space="preserve">A. OCCUPANCY (base blended multiplier 1.00x, physical ceiling ~1.05x)</t>
  </si>
  <si>
    <t xml:space="preserve">Target</t>
  </si>
  <si>
    <t xml:space="preserve">Blended occ needed</t>
  </si>
  <si>
    <t xml:space="preserve">Achievable?</t>
  </si>
  <si>
    <t xml:space="preserve">Development margin = 0</t>
  </si>
  <si>
    <t xml:space="preserve">Yes - very deep cushion below base</t>
  </si>
  <si>
    <t xml:space="preserve">DSCR 1.00x (cash-adequate)</t>
  </si>
  <si>
    <t xml:space="preserve">Yes - well below base</t>
  </si>
  <si>
    <t xml:space="preserve">DSCR 1.30x (covenant)</t>
  </si>
  <si>
    <t xml:space="preserve">Yes - but only 15% below base; the tightest cash test</t>
  </si>
  <si>
    <t xml:space="preserve">Project IRR 20%</t>
  </si>
  <si>
    <t xml:space="preserve">Equity IRR 20%</t>
  </si>
  <si>
    <t xml:space="preserve">Yes - comfortably below base</t>
  </si>
  <si>
    <t xml:space="preserve">Memo: occupancy needed for Equity IRR 24% = 0.981x  (base is 1.00x, so the 24% equity hurdle is cleared at base with only ~2% of occupancy headroom).</t>
  </si>
  <si>
    <t xml:space="preserve">B. RENT (uniform multiplier; base blended ~4,390 ETB/m2/mo)</t>
  </si>
  <si>
    <t xml:space="preserve">Rent multiplier</t>
  </si>
  <si>
    <t xml:space="preserve">Blended rent</t>
  </si>
  <si>
    <t xml:space="preserve">DSCR 1.00x</t>
  </si>
  <si>
    <t xml:space="preserve">Equity IRR 24%</t>
  </si>
  <si>
    <t xml:space="preserve">RECOMPUTED. IMPORTANT FINDING: in this model a uniform RENT multiplier and the OCCUPANCY multiplier are the SAME lever mathematically -- OCC_MULT appears only in Revenue rows 7-13 and in STAB_RENT (B15), exactly where a rent multiplier acts, and NEITHER touches hotel turnover rent or other income. Tables A and B must therefore give identical break-even multipliers, and now do. The ORIGINAL sheet reported different figures for the two (margin=0 at 0.10x occupancy but "never" on rent), which was internally inconsistent.</t>
  </si>
  <si>
    <t xml:space="preserve">C. RETAIL SALE PRICE (base 540,000 ETB/m2)</t>
  </si>
  <si>
    <t xml:space="preserve">Sale price ETB/m2</t>
  </si>
  <si>
    <t xml:space="preserve">vs base</t>
  </si>
  <si>
    <t xml:space="preserve">n/r</t>
  </si>
  <si>
    <t xml:space="preserve">Unreachable - margin stays positive even at a zero sale price</t>
  </si>
  <si>
    <t xml:space="preserve">Unreachable - IRR is 26.4% even at a zero sale price</t>
  </si>
  <si>
    <t xml:space="preserve">Unreachable - equity IRR is 22.6% even at a zero sale price</t>
  </si>
  <si>
    <t xml:space="preserve">RECOMPUTED. The sale price is NOT a viability lever: margin, project IRR and equity IRR 20% all remain satisfied even if the retail units were given away free. Memo: the price needed to hold Equity IRR at 24% is 472,638 ETB/m2 -- i.e. the base 540,000 could fall 12.5% and still clear the 24% equity hurdle. (The original sheet claimed the price had to rise 23% ABOVE base to clear 24%; that is now reversed by the corrected depreciation and VAT fixes.)</t>
  </si>
  <si>
    <t xml:space="preserve">D. SALE-% OF RETAIL (base 75% sold) - a WEAK lever, now barely a lever at all</t>
  </si>
  <si>
    <t xml:space="preserve">Sale-% needed</t>
  </si>
  <si>
    <t xml:space="preserve">No - unreachable at ANY %</t>
  </si>
  <si>
    <t xml:space="preserve">RECOMPUTED. Full 0-&gt;100% sale swing moves margin only ~1.17bn (10.02bn at 0% sold to 8.86bn at 100%) - selling actually SHRINKS margin, since retained space earns more than the sale crystallises. It also weakens DSCR (1.63x at 0% sold vs 1.35x at 100%). Not a lever worth pulling; if anything, selling less improves both margin and covenant headroom.</t>
  </si>
  <si>
    <t xml:space="preserve">E. MARKET &amp; FINANCING</t>
  </si>
  <si>
    <t xml:space="preserve">Condition</t>
  </si>
  <si>
    <t xml:space="preserve">Break-even</t>
  </si>
  <si>
    <t xml:space="preserve">Exit cap for margin = 0</t>
  </si>
  <si>
    <t xml:space="preserve">base 10.5%; above this, underwater on GDV</t>
  </si>
  <si>
    <t xml:space="preserve">Exit cap for IRR 20%</t>
  </si>
  <si>
    <t xml:space="preserve">not reachable - IRR stays above 27.8% across 5%-99%</t>
  </si>
  <si>
    <t xml:space="preserve">Debt rate that would BREACH DSCR 1.30x</t>
  </si>
  <si>
    <t xml:space="preserve">base 20% - about 5pts of headroom before the covenant bites</t>
  </si>
  <si>
    <t xml:space="preserve">CAUTION: EXIT_CAP is used TWICE in this model - as the terminal cap rate AND as the capitalisation rate in the property-tax proxy (Opex row 12). The two effects partly offset, so these exit-cap break-evens are not clean terminal-value sensitivities. Property tax should be given its own independent valuation-yield input before relying on this row.</t>
  </si>
  <si>
    <t xml:space="preserve">F. OPERATING BREAK-EVEN — DSCR PASSES AT BASE; EQUITY IRR IS THE TIGHT ONE</t>
  </si>
  <si>
    <t xml:space="preserve">Tenor</t>
  </si>
  <si>
    <t xml:space="preserve">Amort (yrs)</t>
  </si>
  <si>
    <t xml:space="preserve">Min DSCR</t>
  </si>
  <si>
    <t xml:space="preserve">Avg DSCR</t>
  </si>
  <si>
    <t xml:space="preserve">7 yr (base)</t>
  </si>
  <si>
    <t xml:space="preserve">10 yr</t>
  </si>
  <si>
    <t xml:space="preserve">12 yr</t>
  </si>
  <si>
    <t xml:space="preserve">15 yr</t>
  </si>
  <si>
    <t xml:space="preserve">18 yr</t>
  </si>
  <si>
    <t xml:space="preserve">RECOMPUTED. The 25%/75% debt/equity funding split gives min DSCR 1.42x at the shortest realistic 7-yr tenor, clear of the 1.30x covenant. A longer tenor adds further headroom (10-yr: 2.00x). DSCR is a pre-dividend cash metric and is unaffected by the tax corrections; equity IRR is.</t>
  </si>
  <si>
    <t xml:space="preserve">THREE ANSWERS (recomputed): on COST the asset breaks even with a deep cushion (0.087x occupancy/rent, 31.1% exit cap, sale price irrelevant). On DEBT SERVICE the 25%/75% structure clears the 1.30x covenant (min DSCR 1.42x) but this is the TIGHTEST test - it fails first under cost overrun (&gt;~7%), occupancy below 0.85x, or a debt rate above 25.3%. On the PROJECT IRR hurdle (20%) it clears comfortably (28.3%). On the EQUITY IRR hurdle (24%) it now clears, but by only 0.19 percentage points (24.19%) - too thin to treat as a margin of safety.</t>
  </si>
  <si>
    <t xml:space="preserve">AUDIT NOTE: this sheet has been fully RECOMPUTED against the corrected live model using a validated replica (base-case agreement 1.6e-14). Break-evens solved by bisection. Values are COMPUTED CONSTANTS, not live formulas - re-run after any Assumptions change. The 24% equity hurdle now has a source cell at Assumptions!B98 (EQ_HURDLE); confirm it.</t>
  </si>
  <si>
    <t xml:space="preserve">Sensitivity &amp; Scenarios</t>
  </si>
  <si>
    <t xml:space="preserve">A. CONSTRUCTION DELAY - isolated (same scope/cost, later completion only)</t>
  </si>
  <si>
    <t xml:space="preserve">Delay</t>
  </si>
  <si>
    <t xml:space="preserve">Months</t>
  </si>
  <si>
    <t xml:space="preserve">Grace (yrs)</t>
  </si>
  <si>
    <t xml:space="preserve">IDC</t>
  </si>
  <si>
    <t xml:space="preserve">Capex</t>
  </si>
  <si>
    <t xml:space="preserve">Base</t>
  </si>
  <si>
    <t xml:space="preserve">+6mo</t>
  </si>
  <si>
    <t xml:space="preserve">+12mo</t>
  </si>
  <si>
    <t xml:space="preserve">+24mo</t>
  </si>
  <si>
    <t xml:space="preserve">Grace fixed at 3 yrs regardless of delay. RECOMPUTED against the corrected model. NOTE: +6mo and +12mo both push commissioning into the SAME annual period (this is an annual model; construction years = ceil(months/12), so 42m and 48m both = 4 construction years). +6mo therefore shows a LOWER IRR than +12mo only because it front-loads the S-curve spend into fewer years, not because a shorter delay is worse. The original workbook showed the same reversal. A sub-annual delay cannot be modelled faithfully at annual granularity.</t>
  </si>
  <si>
    <t xml:space="preserve">B. CONSTRUCTION COST OVERRUN (generic, on top of the VE package)</t>
  </si>
  <si>
    <t xml:space="preserve">Overrun</t>
  </si>
  <si>
    <t xml:space="preserve">Margin</t>
  </si>
  <si>
    <t xml:space="preserve">RECOMPUTED. A 20% overrun still clears the 20% project hurdle (25.6%) but pushes min DSCR to 1.23x -- a COVENANT BREACH (1.30x). The covenant, not the IRR hurdle, is the binding constraint on cost overrun: the breach begins between +5% and +10%.</t>
  </si>
  <si>
    <t xml:space="preserve">C. FX - 35% of capex USD-linked (CLIENT-AGREED ESTIMATE, not sourced)</t>
  </si>
  <si>
    <t xml:space="preserve">Add'l depreciation</t>
  </si>
  <si>
    <t xml:space="preserve">RECOMPUTED. Modelled as a cost uplift of 0.35 x devaluation on construction works (35% USD-linked share, CLIENT-AGREED ESTIMATE, not sourced). Replace the 35% share with a real BOQ import breakdown before reliance.</t>
  </si>
  <si>
    <t xml:space="preserve">D1. STABILISED OCCUPANCY LEVEL</t>
  </si>
  <si>
    <t xml:space="preserve">Occ. multiplier</t>
  </si>
  <si>
    <t xml:space="preserve">1.00x (base)</t>
  </si>
  <si>
    <t xml:space="preserve">D2. HOTEL TURNOVER-RENT RATE (IFRS 16 variable lease payment)</t>
  </si>
  <si>
    <t xml:space="preserve">25% (base)</t>
  </si>
  <si>
    <t xml:space="preserve">D3. BASEMENT WAREHOUSE RENT (NO SOURCED COMPARABLE)</t>
  </si>
  <si>
    <t xml:space="preserve">3,500 (base)</t>
  </si>
  <si>
    <t xml:space="preserve">RECOMPUTED. Still the most valuable next input to source. At 1,500 min DSCR falls to 1.30x -- exactly at the covenant, so the warehouse rent assumption is load-bearing for the covenant, not just for returns.</t>
  </si>
  <si>
    <t xml:space="preserve">D4. RENT ESCALATION p.a. (opex tracks inflation at 5% regardless)</t>
  </si>
  <si>
    <t xml:space="preserve">Rent esc.</t>
  </si>
  <si>
    <t xml:space="preserve">RECOMPUTED. Still the largest single lever in the tornado. 25% p.a. is an unusually high assumption -- the single biggest driver of how strong these numbers look. At 15% escalation project IRR falls to 22.5%, still above the 20% hurdle but with far less cushion.</t>
  </si>
  <si>
    <t xml:space="preserve">E1. INTEREST RATE</t>
  </si>
  <si>
    <t xml:space="preserve">20% (base)</t>
  </si>
  <si>
    <t xml:space="preserve">RECOMPUTED. Project IRR barely moves (unlevered); equity IRR and DSCR are the sensitive ones. DSCR clears 1.30x even at 24%. Equity IRR clears its 24% hurdle at base (24.19%) but the margin is thin -- it falls below at rates above roughly 21%.</t>
  </si>
  <si>
    <t xml:space="preserve">E2. EXIT CAP RATE</t>
  </si>
  <si>
    <t xml:space="preserve">Exit cap</t>
  </si>
  <si>
    <t xml:space="preserve">GDV</t>
  </si>
  <si>
    <t xml:space="preserve">10.5% (base)</t>
  </si>
  <si>
    <t xml:space="preserve">RECOMPUTED. WARNING: EXIT_CAP does DOUBLE DUTY in this model -- it is both the terminal cap rate (Returns!B9) AND the capitalisation rate in the property-tax market-value proxy (Opex!row12 divides by EXIT_CAP). A lower cap rate therefore raises terminal value but also inflates property tax, and the two effects partly cancel. That is why project IRR barely moves across this table. This is a MODEL DESIGN issue, not a result: property tax should use its own independent valuation-yield input.</t>
  </si>
  <si>
    <t xml:space="preserve">F. MASTER TORNADO - ranked by |delta| on project IRR (hurdle 20%)</t>
  </si>
  <si>
    <t xml:space="preserve">IRR</t>
  </si>
  <si>
    <t xml:space="preserve">Delta (pts)</t>
  </si>
  <si>
    <t xml:space="preserve">Rent escalation 35%</t>
  </si>
  <si>
    <t xml:space="preserve">Rent escalation 15%</t>
  </si>
  <si>
    <t xml:space="preserve">Delay +24mo</t>
  </si>
  <si>
    <t xml:space="preserve">Delay +6mo</t>
  </si>
  <si>
    <t xml:space="preserve">Cost overrun +20%</t>
  </si>
  <si>
    <t xml:space="preserve">Delay +12mo</t>
  </si>
  <si>
    <t xml:space="preserve">Occupancy -20%</t>
  </si>
  <si>
    <t xml:space="preserve">Warehouse rent 1,500</t>
  </si>
  <si>
    <t xml:space="preserve">Warehouse rent 5,500</t>
  </si>
  <si>
    <t xml:space="preserve">FX shock +30% (35% share)</t>
  </si>
  <si>
    <t xml:space="preserve">Cost overrun +10%</t>
  </si>
  <si>
    <t xml:space="preserve">Occupancy -10%</t>
  </si>
  <si>
    <t xml:space="preserve">Interest rate 14%</t>
  </si>
  <si>
    <t xml:space="preserve">Interest rate 24%</t>
  </si>
  <si>
    <t xml:space="preserve">Hotel turnover 15%</t>
  </si>
  <si>
    <t xml:space="preserve">Hotel turnover 35%</t>
  </si>
  <si>
    <t xml:space="preserve">Exit cap 8%</t>
  </si>
  <si>
    <t xml:space="preserve">Sell 100% of retail</t>
  </si>
  <si>
    <t xml:space="preserve">Exit cap 12%</t>
  </si>
  <si>
    <t xml:space="preserve">BASE</t>
  </si>
  <si>
    <t xml:space="preserve">RECOMPUTED. Delta column in PERCENTAGE POINTS. Project IRR clears its 20% hurdle in every single-driver downside tested. Equity IRR clears 24% at base (24.19%) but only just. The binding risk is the DSCR covenant: cost overrun +20% (1.23x), occupancy -20% (1.26x) and warehouse rent 1,500 (1.30x) all reach or breach the 1.30x covenant while project IRR still looks healthy. Read the DSCR column, not the IRR column, for covenant risk.</t>
  </si>
  <si>
    <t xml:space="preserve">G. SCENARIOS - base / upside / downside (stacked, correlated stresses)</t>
  </si>
  <si>
    <t xml:space="preserve">Scenario</t>
  </si>
  <si>
    <t xml:space="preserve">UPSIDE (occ +5%, hotel 30%, debt 16%)</t>
  </si>
  <si>
    <t xml:space="preserve">DOWNSIDE (1yr delay+10% overrun+occ -10%+debt 24%)</t>
  </si>
  <si>
    <t xml:space="preserve">SEVERE DOWNSIDE (2yr delay+15% overrun+FX20%+occ -15%)</t>
  </si>
  <si>
    <t xml:space="preserve">RECOMPUTED. SEVERE DOWNSIDE lands almost exactly ON the 20% project hurdle (19.9%) and breaches the DSCR covenant badly (1.09x). DOWNSIDE also breaches the covenant (1.14x) while still clearing the project IRR hurdle (23.4%). Equity IRR clears 24% only at BASE and UPSIDE. In both downside cases the DSCR covenant fails BEFORE the IRR hurdle does -- the covenant is the real constraint.</t>
  </si>
  <si>
    <t xml:space="preserve">Hurdles: project IRR 20% | equity IRR 24% | DSCR covenant 1.30x. RECOMPUTED against the corrected model (fixed FF&amp;E depreciation life, VAT refund in IRR cash flows). At base: project IRR 28.3% (clears), equity IRR 24.19% (clears, but by only 0.19pts), min DSCR 1.42x (clears).</t>
  </si>
  <si>
    <t xml:space="preserve">AUDIT NOTE: every figure in this sheet has now been RECOMPUTED against the corrected live model by re-running each scenario through a validated replica of the workbook (agreement with the workbook at base case: 1.6e-14 relative). Values remain COMPUTED CONSTANTS, not live formulas -- only the 'Base' rows are live links. Re-run this sheet after any Assumptions change.</t>
  </si>
  <si>
    <t xml:space="preserve">Dashboard — key outputs</t>
  </si>
  <si>
    <t xml:space="preserve">All values are live links. Nothing here is typed.</t>
  </si>
  <si>
    <t xml:space="preserve">Liiban Smart Mall · TDOMA S.C. · ETB · v2.0 · 20 July 2026</t>
  </si>
  <si>
    <t xml:space="preserve">CAPEX &amp; FUNDING</t>
  </si>
  <si>
    <t xml:space="preserve">Total capex (incl. land in-kind)</t>
  </si>
  <si>
    <t xml:space="preserve">  of which land (non-cash)</t>
  </si>
  <si>
    <t xml:space="preserve">Cash requirement</t>
  </si>
  <si>
    <t xml:space="preserve">TDOMA equity</t>
  </si>
  <si>
    <t xml:space="preserve">Sources − Uses</t>
  </si>
  <si>
    <t xml:space="preserve">Must be zero</t>
  </si>
  <si>
    <t xml:space="preserve">Capex USD @160</t>
  </si>
  <si>
    <t xml:space="preserve">RETURNS</t>
  </si>
  <si>
    <t xml:space="preserve">Project NPV @20%</t>
  </si>
  <si>
    <t xml:space="preserve">Negative = does not clear the hurdle</t>
  </si>
  <si>
    <t xml:space="preserve">Equity NPV @20%</t>
  </si>
  <si>
    <t xml:space="preserve">Yield on cost</t>
  </si>
  <si>
    <t xml:space="preserve">Compare to the loan interest rate</t>
  </si>
  <si>
    <t xml:space="preserve">Covenant 1.30x</t>
  </si>
  <si>
    <t xml:space="preserve">VIABILITY — GDV vs COST</t>
  </si>
  <si>
    <t xml:space="preserve">Total GDV</t>
  </si>
  <si>
    <t xml:space="preserve">Total capex</t>
  </si>
  <si>
    <t xml:space="preserve">Development margin</t>
  </si>
  <si>
    <t xml:space="preserve">Profit on cost</t>
  </si>
  <si>
    <t xml:space="preserve">CHECKS</t>
  </si>
  <si>
    <t xml:space="preserve">Integrity checks passing</t>
  </si>
  <si>
    <t xml:space="preserve">READ THIS</t>
  </si>
  <si>
    <t xml:space="preserve">Value-engineered: curtain walling (was kinetic facade), cloud infrastructure (was on-site data</t>
  </si>
  <si>
    <t xml:space="preserve">centre), ASRS dropped with B2+B3 let as warehouse instead, office consolidated to 5,264 m2, key</t>
  </si>
  <si>
    <t xml:space="preserve">money removed (TDOMA cannot charge it — see Assumptions).</t>
  </si>
  <si>
    <t xml:space="preserve">Warehouse rent is an ESTIMATE with no sourced comparable — the single most valuable next input to obtain.</t>
  </si>
</sst>
</file>

<file path=xl/styles.xml><?xml version="1.0" encoding="utf-8"?>
<styleSheet xmlns="http://schemas.openxmlformats.org/spreadsheetml/2006/main">
  <numFmts count="14">
    <numFmt numFmtId="164" formatCode="General"/>
    <numFmt numFmtId="165" formatCode="#,##0"/>
    <numFmt numFmtId="166" formatCode="0.0%"/>
    <numFmt numFmtId="167" formatCode="0.00\x"/>
    <numFmt numFmtId="168" formatCode="#,##0;[RED]\(#,##0\);\—"/>
    <numFmt numFmtId="169" formatCode="0.0000"/>
    <numFmt numFmtId="170" formatCode="0.000"/>
    <numFmt numFmtId="171" formatCode="#,##0.00"/>
    <numFmt numFmtId="172" formatCode="0.00"/>
    <numFmt numFmtId="173" formatCode="0.00&quot; yrs&quot;"/>
    <numFmt numFmtId="174" formatCode="0%"/>
    <numFmt numFmtId="175" formatCode="0.00%"/>
    <numFmt numFmtId="176" formatCode="\+0.00"/>
    <numFmt numFmtId="177" formatCode="@"/>
  </numFmts>
  <fonts count="29">
    <font>
      <sz val="11"/>
      <color theme="1"/>
      <name val="Calibri"/>
      <family val="2"/>
      <charset val="1"/>
    </font>
    <font>
      <sz val="10"/>
      <name val="Arial"/>
      <family val="0"/>
    </font>
    <font>
      <sz val="10"/>
      <name val="Arial"/>
      <family val="0"/>
    </font>
    <font>
      <sz val="10"/>
      <name val="Arial"/>
      <family val="0"/>
    </font>
    <font>
      <b val="true"/>
      <sz val="18"/>
      <name val="Calibri"/>
      <family val="2"/>
      <charset val="1"/>
    </font>
    <font>
      <sz val="11"/>
      <color rgb="FF666666"/>
      <name val="Calibri"/>
      <family val="2"/>
      <charset val="1"/>
    </font>
    <font>
      <b val="true"/>
      <sz val="10"/>
      <name val="Calibri"/>
      <family val="2"/>
      <charset val="1"/>
    </font>
    <font>
      <sz val="10"/>
      <color rgb="FF000000"/>
      <name val="Calibri"/>
      <family val="2"/>
      <charset val="1"/>
    </font>
    <font>
      <b val="true"/>
      <sz val="11"/>
      <name val="Cambria"/>
      <family val="0"/>
      <charset val="1"/>
    </font>
    <font>
      <i val="true"/>
      <sz val="11"/>
      <name val="Cambria"/>
      <family val="0"/>
      <charset val="1"/>
    </font>
    <font>
      <sz val="10"/>
      <name val="Arial"/>
      <family val="2"/>
    </font>
    <font>
      <b val="true"/>
      <sz val="14"/>
      <name val="Calibri"/>
      <family val="2"/>
      <charset val="1"/>
    </font>
    <font>
      <b val="true"/>
      <sz val="10"/>
      <color rgb="FFFFFFFF"/>
      <name val="Calibri"/>
      <family val="2"/>
      <charset val="1"/>
    </font>
    <font>
      <sz val="10"/>
      <color rgb="FF0000CC"/>
      <name val="Calibri"/>
      <family val="2"/>
      <charset val="1"/>
    </font>
    <font>
      <sz val="11"/>
      <color rgb="FF0000FF"/>
      <name val="Cambria"/>
      <family val="0"/>
      <charset val="1"/>
    </font>
    <font>
      <i val="true"/>
      <sz val="8"/>
      <color rgb="FF666666"/>
      <name val="Calibri"/>
      <family val="2"/>
      <charset val="1"/>
    </font>
    <font>
      <sz val="10"/>
      <color rgb="FF008000"/>
      <name val="Calibri"/>
      <family val="2"/>
      <charset val="1"/>
    </font>
    <font>
      <sz val="8"/>
      <color rgb="FF666666"/>
      <name val="Calibri"/>
      <family val="2"/>
      <charset val="1"/>
    </font>
    <font>
      <sz val="8"/>
      <color rgb="FFCC0000"/>
      <name val="Calibri"/>
      <family val="2"/>
      <charset val="1"/>
    </font>
    <font>
      <i val="true"/>
      <sz val="9"/>
      <color rgb="FF666666"/>
      <name val="Calibri"/>
      <family val="2"/>
      <charset val="1"/>
    </font>
    <font>
      <i val="true"/>
      <sz val="9"/>
      <color rgb="FF999999"/>
      <name val="Calibri"/>
      <family val="2"/>
      <charset val="1"/>
    </font>
    <font>
      <sz val="8"/>
      <color rgb="FF1F7A1F"/>
      <name val="Calibri"/>
      <family val="2"/>
      <charset val="1"/>
    </font>
    <font>
      <b val="true"/>
      <sz val="8"/>
      <color rgb="FFCC0000"/>
      <name val="Calibri"/>
      <family val="2"/>
      <charset val="1"/>
    </font>
    <font>
      <sz val="8"/>
      <color rgb="FF444444"/>
      <name val="Calibri"/>
      <family val="2"/>
      <charset val="1"/>
    </font>
    <font>
      <i val="true"/>
      <sz val="11"/>
      <color rgb="FFC00000"/>
      <name val="Cambria"/>
      <family val="0"/>
      <charset val="1"/>
    </font>
    <font>
      <b val="true"/>
      <sz val="11"/>
      <color rgb="FFCC7A00"/>
      <name val="Calibri"/>
      <family val="2"/>
      <charset val="1"/>
    </font>
    <font>
      <sz val="8"/>
      <color rgb="FF999999"/>
      <name val="Calibri"/>
      <family val="2"/>
      <charset val="1"/>
    </font>
    <font>
      <b val="true"/>
      <sz val="11"/>
      <color rgb="FF1F7A1F"/>
      <name val="Calibri"/>
      <family val="2"/>
      <charset val="1"/>
    </font>
    <font>
      <sz val="9"/>
      <color rgb="FF444444"/>
      <name val="Calibri"/>
      <family val="2"/>
      <charset val="1"/>
    </font>
  </fonts>
  <fills count="6">
    <fill>
      <patternFill patternType="none"/>
    </fill>
    <fill>
      <patternFill patternType="gray125"/>
    </fill>
    <fill>
      <patternFill patternType="solid">
        <fgColor rgb="FF1F3864"/>
        <bgColor rgb="FF333399"/>
      </patternFill>
    </fill>
    <fill>
      <patternFill patternType="solid">
        <fgColor rgb="FFD9E2F3"/>
        <bgColor rgb="FFCCFFFF"/>
      </patternFill>
    </fill>
    <fill>
      <patternFill patternType="solid">
        <fgColor theme="0"/>
        <bgColor rgb="FFFFF2CC"/>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8" fontId="13" fillId="0" borderId="0" xfId="0" applyFont="true" applyBorder="false" applyAlignment="true" applyProtection="false">
      <alignment horizontal="general" vertical="bottom" textRotation="0" wrapText="false" indent="0" shrinkToFit="false"/>
      <protection locked="true" hidden="false"/>
    </xf>
    <xf numFmtId="166" fontId="13" fillId="4" borderId="0" xfId="0" applyFont="true" applyBorder="false" applyAlignment="true" applyProtection="false">
      <alignment horizontal="general" vertical="bottom" textRotation="0" wrapText="false" indent="0" shrinkToFit="false"/>
      <protection locked="true" hidden="false"/>
    </xf>
    <xf numFmtId="165" fontId="13" fillId="4"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8" fontId="16"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8" fontId="6" fillId="5"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general" vertical="bottom"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8" fontId="19" fillId="0"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70" fontId="16"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6" fontId="6" fillId="5" borderId="0" xfId="0" applyFont="true" applyBorder="fals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73" fontId="6" fillId="5" borderId="0" xfId="0" applyFont="true" applyBorder="false" applyAlignment="true" applyProtection="false">
      <alignment horizontal="general" vertical="bottom" textRotation="0" wrapText="false" indent="0" shrinkToFit="false"/>
      <protection locked="true" hidden="false"/>
    </xf>
    <xf numFmtId="174"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75" fontId="7" fillId="0" borderId="0" xfId="0" applyFont="true" applyBorder="false" applyAlignment="true" applyProtection="false">
      <alignment horizontal="general" vertical="bottom" textRotation="0" wrapText="false" indent="0" shrinkToFit="false"/>
      <protection locked="true" hidden="false"/>
    </xf>
    <xf numFmtId="176" fontId="7"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8" fontId="16" fillId="5" borderId="0" xfId="0" applyFont="true" applyBorder="false" applyAlignment="true" applyProtection="false">
      <alignment horizontal="general" vertical="bottom" textRotation="0" wrapText="false" indent="0" shrinkToFit="false"/>
      <protection locked="true" hidden="false"/>
    </xf>
    <xf numFmtId="166" fontId="16" fillId="5" borderId="0" xfId="0" applyFont="true" applyBorder="false" applyAlignment="true" applyProtection="false">
      <alignment horizontal="general" vertical="bottom" textRotation="0" wrapText="false" indent="0" shrinkToFit="false"/>
      <protection locked="true" hidden="false"/>
    </xf>
    <xf numFmtId="177" fontId="1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CC"/>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C7A00"/>
      <rgbColor rgb="FF666666"/>
      <rgbColor rgb="FF999999"/>
      <rgbColor rgb="FF1F3864"/>
      <rgbColor rgb="FF1F7A1F"/>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5.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6.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7.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3"/>
  <sheetViews>
    <sheetView showFormulas="false" showGridLines="false" showRowColHeaders="true" showZeros="true" rightToLeft="false" tabSelected="false" showOutlineSymbols="true" defaultGridColor="true" view="normal" topLeftCell="A48" colorId="64" zoomScale="100" zoomScaleNormal="100" zoomScalePageLayoutView="100" workbookViewId="0">
      <selection pane="topLeft" activeCell="B9" activeCellId="0" sqref="B9"/>
    </sheetView>
  </sheetViews>
  <sheetFormatPr defaultColWidth="8.6796875" defaultRowHeight="14.25" zeroHeight="false" outlineLevelRow="0" outlineLevelCol="0"/>
  <cols>
    <col collapsed="false" customWidth="true" hidden="false" outlineLevel="0" max="1" min="1" style="1" width="12.54"/>
    <col collapsed="false" customWidth="true" hidden="false" outlineLevel="0" max="2" min="2" style="1" width="62"/>
  </cols>
  <sheetData>
    <row r="1" customFormat="false" ht="23.25" hidden="false" customHeight="true" outlineLevel="0" collapsed="false">
      <c r="A1" s="2" t="s">
        <v>0</v>
      </c>
    </row>
    <row r="2" customFormat="false" ht="14.25" hidden="false" customHeight="true" outlineLevel="0" collapsed="false">
      <c r="A2" s="3" t="s">
        <v>1</v>
      </c>
    </row>
    <row r="4" customFormat="false" ht="14.25" hidden="false" customHeight="true" outlineLevel="0" collapsed="false">
      <c r="A4" s="4" t="s">
        <v>2</v>
      </c>
      <c r="B4" s="5" t="s">
        <v>3</v>
      </c>
    </row>
    <row r="5" customFormat="false" ht="14.25" hidden="false" customHeight="true" outlineLevel="0" collapsed="false">
      <c r="A5" s="4" t="s">
        <v>4</v>
      </c>
      <c r="B5" s="5" t="s">
        <v>5</v>
      </c>
    </row>
    <row r="6" customFormat="false" ht="14.25" hidden="false" customHeight="true" outlineLevel="0" collapsed="false">
      <c r="A6" s="4" t="s">
        <v>6</v>
      </c>
      <c r="B6" s="5" t="s">
        <v>7</v>
      </c>
    </row>
    <row r="7" customFormat="false" ht="14.25" hidden="false" customHeight="true" outlineLevel="0" collapsed="false">
      <c r="A7" s="4" t="s">
        <v>8</v>
      </c>
      <c r="B7" s="5" t="s">
        <v>9</v>
      </c>
    </row>
    <row r="8" customFormat="false" ht="14.25" hidden="false" customHeight="true" outlineLevel="0" collapsed="false">
      <c r="A8" s="4" t="s">
        <v>10</v>
      </c>
      <c r="B8" s="5" t="s">
        <v>11</v>
      </c>
    </row>
    <row r="9" customFormat="false" ht="14.25" hidden="false" customHeight="true" outlineLevel="0" collapsed="false">
      <c r="A9" s="4" t="s">
        <v>12</v>
      </c>
      <c r="B9" s="5" t="s">
        <v>13</v>
      </c>
    </row>
    <row r="10" customFormat="false" ht="14.25" hidden="false" customHeight="true" outlineLevel="0" collapsed="false">
      <c r="A10" s="4" t="s">
        <v>14</v>
      </c>
      <c r="B10" s="5" t="s">
        <v>15</v>
      </c>
    </row>
    <row r="11" customFormat="false" ht="14.25" hidden="false" customHeight="true" outlineLevel="0" collapsed="false">
      <c r="A11" s="4" t="s">
        <v>16</v>
      </c>
      <c r="B11" s="5" t="s">
        <v>17</v>
      </c>
    </row>
    <row r="12" customFormat="false" ht="14.25" hidden="false" customHeight="true" outlineLevel="0" collapsed="false">
      <c r="A12" s="5"/>
      <c r="B12" s="5"/>
    </row>
    <row r="13" customFormat="false" ht="14.25" hidden="false" customHeight="true" outlineLevel="0" collapsed="false">
      <c r="A13" s="4" t="s">
        <v>18</v>
      </c>
      <c r="B13" s="5"/>
    </row>
    <row r="14" customFormat="false" ht="14.25" hidden="false" customHeight="true" outlineLevel="0" collapsed="false">
      <c r="A14" s="5" t="s">
        <v>19</v>
      </c>
      <c r="B14" s="5" t="s">
        <v>20</v>
      </c>
    </row>
    <row r="15" customFormat="false" ht="14.25" hidden="false" customHeight="true" outlineLevel="0" collapsed="false">
      <c r="A15" s="5" t="s">
        <v>21</v>
      </c>
      <c r="B15" s="5" t="s">
        <v>22</v>
      </c>
    </row>
    <row r="16" customFormat="false" ht="14.25" hidden="false" customHeight="true" outlineLevel="0" collapsed="false">
      <c r="A16" s="5" t="s">
        <v>23</v>
      </c>
      <c r="B16" s="5" t="s">
        <v>24</v>
      </c>
    </row>
    <row r="17" customFormat="false" ht="14.25" hidden="false" customHeight="true" outlineLevel="0" collapsed="false">
      <c r="A17" s="5" t="s">
        <v>25</v>
      </c>
      <c r="B17" s="5" t="s">
        <v>26</v>
      </c>
    </row>
    <row r="18" customFormat="false" ht="14.25" hidden="false" customHeight="true" outlineLevel="0" collapsed="false">
      <c r="A18" s="5"/>
      <c r="B18" s="5"/>
    </row>
    <row r="19" customFormat="false" ht="14.25" hidden="false" customHeight="true" outlineLevel="0" collapsed="false">
      <c r="A19" s="4" t="s">
        <v>27</v>
      </c>
      <c r="B19" s="5"/>
    </row>
    <row r="20" customFormat="false" ht="14.25" hidden="false" customHeight="true" outlineLevel="0" collapsed="false">
      <c r="A20" s="5" t="s">
        <v>28</v>
      </c>
      <c r="B20" s="5" t="s">
        <v>29</v>
      </c>
    </row>
    <row r="21" customFormat="false" ht="14.25" hidden="false" customHeight="true" outlineLevel="0" collapsed="false">
      <c r="A21" s="5"/>
      <c r="B21" s="5" t="s">
        <v>30</v>
      </c>
    </row>
    <row r="22" customFormat="false" ht="14.25" hidden="false" customHeight="true" outlineLevel="0" collapsed="false">
      <c r="A22" s="5"/>
      <c r="B22" s="5" t="s">
        <v>31</v>
      </c>
    </row>
    <row r="23" customFormat="false" ht="14.25" hidden="false" customHeight="true" outlineLevel="0" collapsed="false">
      <c r="A23" s="5"/>
      <c r="B23" s="5" t="s">
        <v>32</v>
      </c>
    </row>
    <row r="24" customFormat="false" ht="14.25" hidden="false" customHeight="true" outlineLevel="0" collapsed="false">
      <c r="A24" s="5"/>
      <c r="B24" s="5" t="s">
        <v>33</v>
      </c>
    </row>
    <row r="25" customFormat="false" ht="14.25" hidden="false" customHeight="true" outlineLevel="0" collapsed="false">
      <c r="A25" s="5"/>
      <c r="B25" s="5"/>
    </row>
    <row r="26" customFormat="false" ht="14.25" hidden="false" customHeight="true" outlineLevel="0" collapsed="false">
      <c r="A26" s="4" t="s">
        <v>34</v>
      </c>
      <c r="B26" s="5"/>
    </row>
    <row r="27" customFormat="false" ht="14.25" hidden="false" customHeight="true" outlineLevel="0" collapsed="false">
      <c r="A27" s="5" t="s">
        <v>35</v>
      </c>
      <c r="B27" s="5" t="s">
        <v>36</v>
      </c>
    </row>
    <row r="28" customFormat="false" ht="14.25" hidden="false" customHeight="true" outlineLevel="0" collapsed="false">
      <c r="A28" s="5" t="s">
        <v>37</v>
      </c>
      <c r="B28" s="5" t="s">
        <v>38</v>
      </c>
    </row>
    <row r="29" customFormat="false" ht="14.25" hidden="false" customHeight="true" outlineLevel="0" collapsed="false">
      <c r="A29" s="5" t="s">
        <v>39</v>
      </c>
      <c r="B29" s="5" t="s">
        <v>40</v>
      </c>
    </row>
    <row r="30" customFormat="false" ht="14.25" hidden="false" customHeight="true" outlineLevel="0" collapsed="false">
      <c r="A30" s="5"/>
      <c r="B30" s="5" t="s">
        <v>41</v>
      </c>
    </row>
    <row r="31" customFormat="false" ht="14.25" hidden="false" customHeight="true" outlineLevel="0" collapsed="false">
      <c r="A31" s="5"/>
      <c r="B31" s="5"/>
    </row>
    <row r="32" customFormat="false" ht="14.25" hidden="false" customHeight="true" outlineLevel="0" collapsed="false">
      <c r="A32" s="4" t="s">
        <v>42</v>
      </c>
      <c r="B32" s="5"/>
    </row>
    <row r="33" customFormat="false" ht="14.25" hidden="false" customHeight="true" outlineLevel="0" collapsed="false">
      <c r="A33" s="5" t="s">
        <v>43</v>
      </c>
      <c r="B33" s="5" t="s">
        <v>44</v>
      </c>
    </row>
    <row r="34" customFormat="false" ht="14.25" hidden="false" customHeight="true" outlineLevel="0" collapsed="false">
      <c r="A34" s="5" t="s">
        <v>45</v>
      </c>
      <c r="B34" s="5" t="s">
        <v>46</v>
      </c>
    </row>
    <row r="35" customFormat="false" ht="14.25" hidden="false" customHeight="true" outlineLevel="0" collapsed="false">
      <c r="A35" s="5" t="s">
        <v>47</v>
      </c>
      <c r="B35" s="5" t="s">
        <v>48</v>
      </c>
    </row>
    <row r="36" customFormat="false" ht="14.25" hidden="false" customHeight="true" outlineLevel="0" collapsed="false">
      <c r="A36" s="5" t="s">
        <v>49</v>
      </c>
      <c r="B36" s="5" t="s">
        <v>50</v>
      </c>
    </row>
    <row r="37" customFormat="false" ht="14.25" hidden="false" customHeight="true" outlineLevel="0" collapsed="false">
      <c r="A37" s="5"/>
      <c r="B37" s="5" t="s">
        <v>51</v>
      </c>
    </row>
    <row r="38" customFormat="false" ht="14.25" hidden="false" customHeight="true" outlineLevel="0" collapsed="false">
      <c r="A38" s="5" t="s">
        <v>52</v>
      </c>
      <c r="B38" s="5" t="s">
        <v>53</v>
      </c>
    </row>
    <row r="39" customFormat="false" ht="14.25" hidden="false" customHeight="true" outlineLevel="0" collapsed="false">
      <c r="A39" s="5"/>
      <c r="B39" s="5" t="s">
        <v>54</v>
      </c>
    </row>
    <row r="40" customFormat="false" ht="14.25" hidden="false" customHeight="true" outlineLevel="0" collapsed="false">
      <c r="A40" s="5"/>
      <c r="B40" s="5"/>
    </row>
    <row r="41" customFormat="false" ht="14.25" hidden="false" customHeight="true" outlineLevel="0" collapsed="false">
      <c r="A41" s="4" t="s">
        <v>55</v>
      </c>
      <c r="B41" s="5"/>
    </row>
    <row r="42" customFormat="false" ht="14.25" hidden="false" customHeight="true" outlineLevel="0" collapsed="false">
      <c r="A42" s="5" t="s">
        <v>56</v>
      </c>
      <c r="B42" s="5" t="str">
        <f aca="false">"Minimum DSCR is "&amp;TEXT(Returns!$B$19,"0.00")&amp;"x — "&amp;IF(Returns!$B$19&gt;=DSCR_COV,"clears","BREACHES")&amp;" the "&amp;TEXT(DSCR_COV,"0.00")&amp;"x covenant."</f>
        <v>Minimum DSCR is 1.42x — clears the 1.30x covenant.</v>
      </c>
    </row>
    <row r="43" customFormat="false" ht="14.25" hidden="false" customHeight="true" outlineLevel="0" collapsed="false">
      <c r="A43" s="5"/>
      <c r="B43" s="5" t="s">
        <v>57</v>
      </c>
    </row>
    <row r="44" customFormat="false" ht="14.25" hidden="false" customHeight="true" outlineLevel="0" collapsed="false">
      <c r="A44" s="5" t="s">
        <v>58</v>
      </c>
      <c r="B44" s="5" t="str">
        <f aca="false">"Project IRR "&amp;TEXT(Returns!$B$12,"0.0%")&amp;", equity IRR "&amp;TEXT(Returns!$B$14,"0.0%")&amp;" — "&amp;IF(Returns!$B$12&gt;=DISC,"clears","MISSES")&amp;" the "&amp;TEXT(DISC,"0%")&amp;" project hurdle; "&amp;IF(Returns!$B$14&gt;=EQ_HURDLE,"clears","MISSES")&amp;" the "&amp;TEXT(EQ_HURDLE,"0%")&amp;" equity hurdle."</f>
        <v>Project IRR 28.3%, equity IRR 24.2% — clears the 20% project hurdle; clears the 24% equity hurdle.</v>
      </c>
    </row>
    <row r="45" customFormat="false" ht="14.25" hidden="false" customHeight="true" outlineLevel="0" collapsed="false">
      <c r="A45" s="5"/>
      <c r="B45" s="5" t="s">
        <v>57</v>
      </c>
    </row>
    <row r="46" customFormat="false" ht="14.25" hidden="false" customHeight="true" outlineLevel="0" collapsed="false">
      <c r="A46" s="5" t="s">
        <v>59</v>
      </c>
      <c r="B46" s="5" t="s">
        <v>60</v>
      </c>
    </row>
    <row r="47" customFormat="false" ht="14.25" hidden="false" customHeight="true" outlineLevel="0" collapsed="false">
      <c r="A47" s="5"/>
      <c r="B47" s="5" t="s">
        <v>61</v>
      </c>
    </row>
    <row r="48" customFormat="false" ht="14.25" hidden="false" customHeight="true" outlineLevel="0" collapsed="false">
      <c r="A48" s="5" t="s">
        <v>62</v>
      </c>
      <c r="B48" s="5" t="s">
        <v>63</v>
      </c>
    </row>
    <row r="49" customFormat="false" ht="14.25" hidden="false" customHeight="true" outlineLevel="0" collapsed="false">
      <c r="A49" s="5"/>
      <c r="B49" s="5" t="s">
        <v>64</v>
      </c>
    </row>
    <row r="50" customFormat="false" ht="14.25" hidden="false" customHeight="true" outlineLevel="0" collapsed="false">
      <c r="A50" s="5" t="s">
        <v>65</v>
      </c>
      <c r="B50" s="5" t="s">
        <v>66</v>
      </c>
    </row>
    <row r="51" customFormat="false" ht="14.25" hidden="false" customHeight="true" outlineLevel="0" collapsed="false">
      <c r="A51" s="5"/>
      <c r="B51" s="5" t="s">
        <v>67</v>
      </c>
    </row>
    <row r="52" customFormat="false" ht="14.25" hidden="false" customHeight="true" outlineLevel="0" collapsed="false">
      <c r="A52" s="5"/>
      <c r="B52" s="5" t="s">
        <v>68</v>
      </c>
    </row>
    <row r="53" customFormat="false" ht="14.25" hidden="false" customHeight="true" outlineLevel="0" collapsed="false">
      <c r="A53" s="5"/>
      <c r="B53" s="5" t="s">
        <v>69</v>
      </c>
    </row>
    <row r="54" customFormat="false" ht="14.25" hidden="false" customHeight="true" outlineLevel="0" collapsed="false">
      <c r="A54" s="5"/>
      <c r="B54" s="5"/>
    </row>
    <row r="55" customFormat="false" ht="14.25" hidden="false" customHeight="true" outlineLevel="0" collapsed="false">
      <c r="A55" s="4" t="s">
        <v>70</v>
      </c>
      <c r="B55" s="5"/>
    </row>
    <row r="56" customFormat="false" ht="14.25" hidden="false" customHeight="true" outlineLevel="0" collapsed="false">
      <c r="A56" s="5" t="s">
        <v>71</v>
      </c>
      <c r="B56" s="5" t="s">
        <v>72</v>
      </c>
    </row>
    <row r="57" customFormat="false" ht="14.25" hidden="false" customHeight="true" outlineLevel="0" collapsed="false">
      <c r="A57" s="5" t="s">
        <v>73</v>
      </c>
      <c r="B57" s="5" t="s">
        <v>74</v>
      </c>
    </row>
    <row r="58" customFormat="false" ht="14.25" hidden="false" customHeight="true" outlineLevel="0" collapsed="false">
      <c r="A58" s="5" t="s">
        <v>75</v>
      </c>
      <c r="B58" s="5" t="s">
        <v>76</v>
      </c>
    </row>
    <row r="59" customFormat="false" ht="14.25" hidden="false" customHeight="true" outlineLevel="0" collapsed="false">
      <c r="A59" s="5" t="s">
        <v>77</v>
      </c>
      <c r="B59" s="5" t="s">
        <v>78</v>
      </c>
    </row>
    <row r="60" customFormat="false" ht="14.25" hidden="false" customHeight="true" outlineLevel="0" collapsed="false">
      <c r="A60" s="5" t="s">
        <v>79</v>
      </c>
      <c r="B60" s="5" t="s">
        <v>80</v>
      </c>
    </row>
    <row r="61" customFormat="false" ht="14.25" hidden="false" customHeight="true" outlineLevel="0" collapsed="false">
      <c r="A61" s="5" t="s">
        <v>81</v>
      </c>
      <c r="B61" s="5" t="s">
        <v>82</v>
      </c>
    </row>
    <row r="62" customFormat="false" ht="14.25" hidden="false" customHeight="true" outlineLevel="0" collapsed="false">
      <c r="A62" s="5" t="s">
        <v>83</v>
      </c>
      <c r="B62" s="5" t="s">
        <v>84</v>
      </c>
    </row>
    <row r="63" customFormat="false" ht="14.25" hidden="false" customHeight="true" outlineLevel="0" collapsed="false">
      <c r="A63" s="5" t="s">
        <v>85</v>
      </c>
      <c r="B63" s="5" t="s">
        <v>86</v>
      </c>
    </row>
    <row r="64" customFormat="false" ht="14.25" hidden="false" customHeight="true" outlineLevel="0" collapsed="false">
      <c r="A64" s="5" t="s">
        <v>87</v>
      </c>
      <c r="B64" s="5" t="s">
        <v>88</v>
      </c>
    </row>
    <row r="65" customFormat="false" ht="14.25" hidden="false" customHeight="true" outlineLevel="0" collapsed="false">
      <c r="A65" s="5" t="s">
        <v>89</v>
      </c>
      <c r="B65" s="5" t="s">
        <v>90</v>
      </c>
    </row>
    <row r="66" customFormat="false" ht="14.25" hidden="false" customHeight="true" outlineLevel="0" collapsed="false">
      <c r="A66" s="5" t="s">
        <v>91</v>
      </c>
      <c r="B66" s="5" t="s">
        <v>92</v>
      </c>
    </row>
    <row r="67" customFormat="false" ht="14.25" hidden="false" customHeight="true" outlineLevel="0" collapsed="false">
      <c r="A67" s="5" t="s">
        <v>93</v>
      </c>
      <c r="B67" s="5" t="s">
        <v>94</v>
      </c>
    </row>
    <row r="68" customFormat="false" ht="14.25" hidden="false" customHeight="true" outlineLevel="0" collapsed="false">
      <c r="A68" s="5"/>
      <c r="B68" s="5" t="s">
        <v>95</v>
      </c>
    </row>
    <row r="69" customFormat="false" ht="14.25" hidden="false" customHeight="true" outlineLevel="0" collapsed="false">
      <c r="A69" s="5" t="s">
        <v>96</v>
      </c>
      <c r="B69" s="5" t="s">
        <v>97</v>
      </c>
    </row>
    <row r="70" customFormat="false" ht="14.25" hidden="false" customHeight="true" outlineLevel="0" collapsed="false">
      <c r="A70" s="5"/>
      <c r="B70" s="5" t="s">
        <v>98</v>
      </c>
    </row>
    <row r="72" customFormat="false" ht="14.25" hidden="false" customHeight="true" outlineLevel="0" collapsed="false">
      <c r="A72" s="6" t="s">
        <v>99</v>
      </c>
    </row>
    <row r="73" customFormat="false" ht="14.25" hidden="false" customHeight="true" outlineLevel="0" collapsed="false">
      <c r="B73" s="1" t="s">
        <v>100</v>
      </c>
    </row>
    <row r="74" customFormat="false" ht="14.25" hidden="false" customHeight="true" outlineLevel="0" collapsed="false">
      <c r="B74" s="1" t="s">
        <v>101</v>
      </c>
    </row>
    <row r="75" customFormat="false" ht="14.25" hidden="false" customHeight="true" outlineLevel="0" collapsed="false">
      <c r="B75" s="1" t="s">
        <v>102</v>
      </c>
    </row>
    <row r="76" customFormat="false" ht="14.25" hidden="false" customHeight="true" outlineLevel="0" collapsed="false">
      <c r="B76" s="1" t="s">
        <v>103</v>
      </c>
    </row>
    <row r="77" customFormat="false" ht="14.25" hidden="false" customHeight="true" outlineLevel="0" collapsed="false">
      <c r="B77" s="1" t="s">
        <v>104</v>
      </c>
    </row>
    <row r="78" customFormat="false" ht="14.25" hidden="false" customHeight="true" outlineLevel="0" collapsed="false">
      <c r="B78" s="1" t="s">
        <v>105</v>
      </c>
    </row>
    <row r="79" customFormat="false" ht="14.25" hidden="false" customHeight="true" outlineLevel="0" collapsed="false">
      <c r="B79" s="1" t="s">
        <v>106</v>
      </c>
    </row>
    <row r="80" customFormat="false" ht="14.25" hidden="false" customHeight="true" outlineLevel="0" collapsed="false">
      <c r="B80" s="1" t="s">
        <v>107</v>
      </c>
    </row>
    <row r="81" customFormat="false" ht="14.25" hidden="false" customHeight="true" outlineLevel="0" collapsed="false">
      <c r="B81" s="1" t="s">
        <v>108</v>
      </c>
    </row>
    <row r="82" customFormat="false" ht="14.25" hidden="false" customHeight="false" outlineLevel="0" collapsed="false">
      <c r="B82" s="7" t="s">
        <v>109</v>
      </c>
    </row>
    <row r="83" customFormat="false" ht="14.25" hidden="false" customHeight="false" outlineLevel="0" collapsed="false">
      <c r="B83" s="7"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8"/>
  <sheetViews>
    <sheetView showFormulas="false" showGridLines="false" showRowColHeaders="true" showZeros="true" rightToLeft="false" tabSelected="true" showOutlineSymbols="true" defaultGridColor="true" view="normal" topLeftCell="A15" colorId="64" zoomScale="100" zoomScaleNormal="100" zoomScalePageLayoutView="100" workbookViewId="0">
      <selection pane="topLeft" activeCell="E78" activeCellId="0" sqref="E78"/>
    </sheetView>
  </sheetViews>
  <sheetFormatPr defaultColWidth="8.6796875" defaultRowHeight="14.25" zeroHeight="false" outlineLevelRow="0" outlineLevelCol="0"/>
  <cols>
    <col collapsed="false" customWidth="true" hidden="false" outlineLevel="0" max="1" min="1" style="1" width="44"/>
    <col collapsed="false" customWidth="true" hidden="false" outlineLevel="0" max="2" min="2" style="1" width="16.18"/>
  </cols>
  <sheetData>
    <row r="1" customFormat="false" ht="18" hidden="false" customHeight="true" outlineLevel="0" collapsed="false">
      <c r="A1" s="8" t="s">
        <v>111</v>
      </c>
    </row>
    <row r="3" customFormat="false" ht="14.25" hidden="false" customHeight="true" outlineLevel="0" collapsed="false">
      <c r="A3" s="9" t="s">
        <v>112</v>
      </c>
      <c r="B3" s="9" t="s">
        <v>113</v>
      </c>
    </row>
    <row r="4" customFormat="false" ht="14.25" hidden="false" customHeight="true" outlineLevel="0" collapsed="false">
      <c r="A4" s="10" t="s">
        <v>114</v>
      </c>
      <c r="B4" s="11"/>
    </row>
    <row r="5" customFormat="false" ht="14.25" hidden="false" customHeight="true" outlineLevel="0" collapsed="false">
      <c r="A5" s="5" t="s">
        <v>115</v>
      </c>
      <c r="B5" s="12" t="n">
        <v>5000</v>
      </c>
    </row>
    <row r="6" customFormat="false" ht="14.25" hidden="false" customHeight="true" outlineLevel="0" collapsed="false">
      <c r="A6" s="5" t="s">
        <v>116</v>
      </c>
      <c r="B6" s="12" t="n">
        <v>28800</v>
      </c>
    </row>
    <row r="7" customFormat="false" ht="14.25" hidden="false" customHeight="true" outlineLevel="0" collapsed="false">
      <c r="A7" s="5" t="s">
        <v>117</v>
      </c>
      <c r="B7" s="12" t="n">
        <v>9000</v>
      </c>
    </row>
    <row r="8" customFormat="false" ht="14.25" hidden="false" customHeight="true" outlineLevel="0" collapsed="false">
      <c r="A8" s="5" t="s">
        <v>118</v>
      </c>
      <c r="B8" s="12" t="n">
        <v>21004</v>
      </c>
    </row>
    <row r="9" customFormat="false" ht="14.25" hidden="false" customHeight="true" outlineLevel="0" collapsed="false">
      <c r="A9" s="5" t="s">
        <v>119</v>
      </c>
      <c r="B9" s="12" t="n">
        <v>4160</v>
      </c>
    </row>
    <row r="10" customFormat="false" ht="14.25" hidden="false" customHeight="true" outlineLevel="0" collapsed="false">
      <c r="A10" s="5" t="s">
        <v>120</v>
      </c>
      <c r="B10" s="13" t="n">
        <v>0.75</v>
      </c>
    </row>
    <row r="11" customFormat="false" ht="14.25" hidden="false" customHeight="true" outlineLevel="0" collapsed="false">
      <c r="A11" s="5" t="s">
        <v>121</v>
      </c>
      <c r="B11" s="12" t="n">
        <v>864</v>
      </c>
    </row>
    <row r="12" customFormat="false" ht="14.25" hidden="false" customHeight="true" outlineLevel="0" collapsed="false">
      <c r="A12" s="5" t="s">
        <v>122</v>
      </c>
      <c r="B12" s="12" t="n">
        <v>320</v>
      </c>
    </row>
    <row r="13" customFormat="false" ht="14.25" hidden="false" customHeight="true" outlineLevel="0" collapsed="false">
      <c r="A13" s="5" t="s">
        <v>123</v>
      </c>
      <c r="B13" s="12" t="n">
        <v>6000</v>
      </c>
    </row>
    <row r="14" customFormat="false" ht="14.25" hidden="false" customHeight="true" outlineLevel="0" collapsed="false">
      <c r="A14" s="5" t="s">
        <v>124</v>
      </c>
      <c r="B14" s="12" t="n">
        <v>500</v>
      </c>
    </row>
    <row r="15" customFormat="false" ht="14.25" hidden="false" customHeight="true" outlineLevel="0" collapsed="false">
      <c r="A15" s="5" t="s">
        <v>125</v>
      </c>
      <c r="B15" s="12" t="n">
        <v>1728</v>
      </c>
    </row>
    <row r="16" customFormat="false" ht="14.25" hidden="false" customHeight="true" outlineLevel="0" collapsed="false">
      <c r="A16" s="5" t="s">
        <v>126</v>
      </c>
      <c r="B16" s="12" t="n">
        <v>3084</v>
      </c>
    </row>
    <row r="17" customFormat="false" ht="14.25" hidden="false" customHeight="true" outlineLevel="0" collapsed="false">
      <c r="A17" s="5" t="s">
        <v>127</v>
      </c>
      <c r="B17" s="14" t="n">
        <v>1</v>
      </c>
    </row>
    <row r="18" customFormat="false" ht="14.25" hidden="false" customHeight="true" outlineLevel="0" collapsed="false">
      <c r="A18" s="10" t="s">
        <v>128</v>
      </c>
      <c r="B18" s="11"/>
    </row>
    <row r="19" customFormat="false" ht="14.25" hidden="false" customHeight="true" outlineLevel="0" collapsed="false">
      <c r="A19" s="5" t="s">
        <v>129</v>
      </c>
      <c r="B19" s="15" t="n">
        <v>424000000</v>
      </c>
    </row>
    <row r="20" customFormat="false" ht="14.25" hidden="false" customHeight="true" outlineLevel="0" collapsed="false">
      <c r="A20" s="5" t="s">
        <v>130</v>
      </c>
      <c r="B20" s="15" t="n">
        <v>692800000</v>
      </c>
    </row>
    <row r="21" customFormat="false" ht="14.25" hidden="false" customHeight="true" outlineLevel="0" collapsed="false">
      <c r="A21" s="5" t="s">
        <v>131</v>
      </c>
      <c r="B21" s="15" t="n">
        <v>716900000</v>
      </c>
    </row>
    <row r="22" customFormat="false" ht="14.25" hidden="false" customHeight="true" outlineLevel="0" collapsed="false">
      <c r="A22" s="5" t="s">
        <v>132</v>
      </c>
      <c r="B22" s="15" t="n">
        <v>428000000</v>
      </c>
    </row>
    <row r="23" customFormat="false" ht="14.25" hidden="false" customHeight="true" outlineLevel="0" collapsed="false">
      <c r="A23" s="5" t="s">
        <v>133</v>
      </c>
      <c r="B23" s="15" t="n">
        <v>164900000</v>
      </c>
    </row>
    <row r="24" customFormat="false" ht="14.25" hidden="false" customHeight="true" outlineLevel="0" collapsed="false">
      <c r="A24" s="5" t="s">
        <v>134</v>
      </c>
      <c r="B24" s="15" t="n">
        <v>381870000</v>
      </c>
    </row>
    <row r="25" customFormat="false" ht="14.25" hidden="false" customHeight="true" outlineLevel="0" collapsed="false">
      <c r="A25" s="5" t="s">
        <v>135</v>
      </c>
      <c r="B25" s="15" t="n">
        <v>106000000</v>
      </c>
    </row>
    <row r="26" customFormat="false" ht="14.25" hidden="false" customHeight="true" outlineLevel="0" collapsed="false">
      <c r="A26" s="5" t="s">
        <v>136</v>
      </c>
      <c r="B26" s="15" t="n">
        <v>899280000</v>
      </c>
    </row>
    <row r="27" customFormat="false" ht="14.25" hidden="false" customHeight="true" outlineLevel="0" collapsed="false">
      <c r="A27" s="5" t="s">
        <v>137</v>
      </c>
      <c r="B27" s="15" t="n">
        <v>158250000</v>
      </c>
    </row>
    <row r="28" customFormat="false" ht="14.25" hidden="false" customHeight="true" outlineLevel="0" collapsed="false">
      <c r="A28" s="5" t="s">
        <v>138</v>
      </c>
      <c r="B28" s="15" t="n">
        <v>92100000</v>
      </c>
    </row>
    <row r="29" customFormat="false" ht="14.25" hidden="false" customHeight="true" outlineLevel="0" collapsed="false">
      <c r="A29" s="5" t="s">
        <v>139</v>
      </c>
      <c r="B29" s="13" t="n">
        <v>0.02</v>
      </c>
    </row>
    <row r="30" customFormat="false" ht="14.25" hidden="false" customHeight="true" outlineLevel="0" collapsed="false">
      <c r="A30" s="5" t="s">
        <v>140</v>
      </c>
      <c r="B30" s="13" t="n">
        <v>0.12</v>
      </c>
    </row>
    <row r="31" customFormat="false" ht="14.25" hidden="false" customHeight="true" outlineLevel="0" collapsed="false">
      <c r="A31" s="5" t="s">
        <v>141</v>
      </c>
      <c r="B31" s="15" t="n">
        <v>16849500</v>
      </c>
    </row>
    <row r="32" customFormat="false" ht="14.25" hidden="false" customHeight="true" outlineLevel="0" collapsed="false">
      <c r="A32" s="5" t="s">
        <v>142</v>
      </c>
      <c r="B32" s="15" t="n">
        <v>163020000</v>
      </c>
    </row>
    <row r="33" customFormat="false" ht="14.25" hidden="false" customHeight="true" outlineLevel="0" collapsed="false">
      <c r="A33" s="5" t="s">
        <v>143</v>
      </c>
      <c r="B33" s="15" t="n">
        <v>120000000</v>
      </c>
    </row>
    <row r="34" customFormat="false" ht="14.25" hidden="false" customHeight="true" outlineLevel="0" collapsed="false">
      <c r="A34" s="10" t="s">
        <v>144</v>
      </c>
      <c r="B34" s="11"/>
    </row>
    <row r="35" customFormat="false" ht="14.25" hidden="false" customHeight="true" outlineLevel="0" collapsed="false">
      <c r="A35" s="5" t="s">
        <v>145</v>
      </c>
      <c r="B35" s="12" t="n">
        <v>330000</v>
      </c>
    </row>
    <row r="36" customFormat="false" ht="14.25" hidden="false" customHeight="true" outlineLevel="0" collapsed="false">
      <c r="A36" s="10" t="s">
        <v>146</v>
      </c>
      <c r="B36" s="11"/>
    </row>
    <row r="37" customFormat="false" ht="14.25" hidden="false" customHeight="true" outlineLevel="0" collapsed="false">
      <c r="A37" s="5" t="s">
        <v>147</v>
      </c>
      <c r="B37" s="13" t="n">
        <v>0.2</v>
      </c>
    </row>
    <row r="38" customFormat="false" ht="14.25" hidden="false" customHeight="true" outlineLevel="0" collapsed="false">
      <c r="A38" s="5" t="s">
        <v>148</v>
      </c>
      <c r="B38" s="13" t="n">
        <v>0.25</v>
      </c>
    </row>
    <row r="39" customFormat="false" ht="14.25" hidden="false" customHeight="true" outlineLevel="0" collapsed="false">
      <c r="A39" s="5" t="s">
        <v>149</v>
      </c>
      <c r="B39" s="13" t="n">
        <v>0.015</v>
      </c>
    </row>
    <row r="40" customFormat="false" ht="14.25" hidden="false" customHeight="true" outlineLevel="0" collapsed="false">
      <c r="A40" s="5" t="s">
        <v>150</v>
      </c>
      <c r="B40" s="12" t="n">
        <v>36</v>
      </c>
    </row>
    <row r="41" customFormat="false" ht="14.25" hidden="false" customHeight="true" outlineLevel="0" collapsed="false">
      <c r="A41" s="5" t="s">
        <v>151</v>
      </c>
      <c r="B41" s="12" t="n">
        <v>3</v>
      </c>
    </row>
    <row r="42" customFormat="false" ht="14.25" hidden="false" customHeight="true" outlineLevel="0" collapsed="false">
      <c r="A42" s="5" t="s">
        <v>152</v>
      </c>
      <c r="B42" s="12" t="n">
        <v>7</v>
      </c>
    </row>
    <row r="43" customFormat="false" ht="14.25" hidden="false" customHeight="true" outlineLevel="0" collapsed="false">
      <c r="A43" s="5" t="s">
        <v>153</v>
      </c>
      <c r="B43" s="14" t="n">
        <v>1.3</v>
      </c>
    </row>
    <row r="44" customFormat="false" ht="14.25" hidden="false" customHeight="true" outlineLevel="0" collapsed="false">
      <c r="A44" s="10" t="s">
        <v>154</v>
      </c>
      <c r="B44" s="11"/>
    </row>
    <row r="45" customFormat="false" ht="14.25" hidden="false" customHeight="true" outlineLevel="0" collapsed="false">
      <c r="A45" s="5" t="s">
        <v>155</v>
      </c>
      <c r="B45" s="12" t="n">
        <v>6250</v>
      </c>
    </row>
    <row r="46" customFormat="false" ht="14.25" hidden="false" customHeight="true" outlineLevel="0" collapsed="false">
      <c r="A46" s="5" t="s">
        <v>156</v>
      </c>
      <c r="B46" s="12" t="n">
        <v>0</v>
      </c>
    </row>
    <row r="47" customFormat="false" ht="14.25" hidden="false" customHeight="true" outlineLevel="0" collapsed="false">
      <c r="A47" s="5" t="s">
        <v>157</v>
      </c>
      <c r="B47" s="12" t="n">
        <v>540000</v>
      </c>
    </row>
    <row r="48" customFormat="false" ht="14.25" hidden="false" customHeight="true" outlineLevel="0" collapsed="false">
      <c r="A48" s="5" t="s">
        <v>158</v>
      </c>
      <c r="B48" s="12" t="n">
        <v>4600</v>
      </c>
    </row>
    <row r="49" customFormat="false" ht="14.25" hidden="false" customHeight="true" outlineLevel="0" collapsed="false">
      <c r="A49" s="5" t="s">
        <v>159</v>
      </c>
      <c r="B49" s="12" t="n">
        <v>4600</v>
      </c>
    </row>
    <row r="50" customFormat="false" ht="14.25" hidden="false" customHeight="true" outlineLevel="0" collapsed="false">
      <c r="A50" s="5" t="s">
        <v>160</v>
      </c>
      <c r="B50" s="12" t="n">
        <v>5625</v>
      </c>
    </row>
    <row r="51" customFormat="false" ht="14.25" hidden="false" customHeight="true" outlineLevel="0" collapsed="false">
      <c r="A51" s="5" t="s">
        <v>161</v>
      </c>
      <c r="B51" s="12" t="n">
        <v>3500</v>
      </c>
    </row>
    <row r="52" customFormat="false" ht="14.25" hidden="false" customHeight="true" outlineLevel="0" collapsed="false">
      <c r="A52" s="5" t="s">
        <v>162</v>
      </c>
      <c r="B52" s="12" t="n">
        <v>38</v>
      </c>
    </row>
    <row r="53" customFormat="false" ht="14.25" hidden="false" customHeight="true" outlineLevel="0" collapsed="false">
      <c r="A53" s="5" t="s">
        <v>163</v>
      </c>
      <c r="B53" s="12" t="n">
        <v>12800</v>
      </c>
    </row>
    <row r="54" customFormat="false" ht="14.25" hidden="false" customHeight="true" outlineLevel="0" collapsed="false">
      <c r="A54" s="5" t="s">
        <v>164</v>
      </c>
      <c r="B54" s="13" t="n">
        <v>0.5</v>
      </c>
    </row>
    <row r="55" customFormat="false" ht="14.25" hidden="false" customHeight="true" outlineLevel="0" collapsed="false">
      <c r="A55" s="5" t="s">
        <v>165</v>
      </c>
      <c r="B55" s="13" t="n">
        <v>0.25</v>
      </c>
    </row>
    <row r="56" customFormat="false" ht="14.25" hidden="false" customHeight="true" outlineLevel="0" collapsed="false">
      <c r="A56" s="5" t="s">
        <v>166</v>
      </c>
      <c r="B56" s="15" t="n">
        <v>96000000</v>
      </c>
    </row>
    <row r="57" customFormat="false" ht="14.25" hidden="false" customHeight="true" outlineLevel="0" collapsed="false">
      <c r="A57" s="5" t="s">
        <v>167</v>
      </c>
      <c r="B57" s="15" t="n">
        <v>120000000</v>
      </c>
    </row>
    <row r="58" customFormat="false" ht="14.25" hidden="false" customHeight="true" outlineLevel="0" collapsed="false">
      <c r="A58" s="5" t="s">
        <v>168</v>
      </c>
      <c r="B58" s="15" t="n">
        <v>12000000</v>
      </c>
    </row>
    <row r="59" customFormat="false" ht="14.25" hidden="false" customHeight="true" outlineLevel="0" collapsed="false">
      <c r="A59" s="5" t="s">
        <v>169</v>
      </c>
      <c r="B59" s="15" t="n">
        <v>48000000</v>
      </c>
    </row>
    <row r="60" customFormat="false" ht="14.25" hidden="false" customHeight="true" outlineLevel="0" collapsed="false">
      <c r="A60" s="10" t="s">
        <v>170</v>
      </c>
      <c r="B60" s="11"/>
    </row>
    <row r="61" customFormat="false" ht="14.25" hidden="false" customHeight="true" outlineLevel="0" collapsed="false">
      <c r="A61" s="5" t="s">
        <v>171</v>
      </c>
      <c r="B61" s="13" t="n">
        <v>0.25</v>
      </c>
    </row>
    <row r="62" customFormat="false" ht="14.25" hidden="false" customHeight="true" outlineLevel="0" collapsed="false">
      <c r="A62" s="5" t="s">
        <v>172</v>
      </c>
      <c r="B62" s="13" t="n">
        <v>0.04</v>
      </c>
    </row>
    <row r="63" customFormat="false" ht="14.25" hidden="false" customHeight="true" outlineLevel="0" collapsed="false">
      <c r="A63" s="5" t="s">
        <v>173</v>
      </c>
      <c r="B63" s="13" t="n">
        <v>0.01</v>
      </c>
    </row>
    <row r="64" customFormat="false" ht="14.25" hidden="false" customHeight="true" outlineLevel="0" collapsed="false">
      <c r="A64" s="5" t="s">
        <v>174</v>
      </c>
      <c r="B64" s="13" t="n">
        <v>0.02</v>
      </c>
    </row>
    <row r="65" customFormat="false" ht="14.25" hidden="false" customHeight="true" outlineLevel="0" collapsed="false">
      <c r="A65" s="5" t="s">
        <v>175</v>
      </c>
      <c r="B65" s="15" t="n">
        <v>12000000</v>
      </c>
    </row>
    <row r="66" customFormat="false" ht="14.25" hidden="false" customHeight="true" outlineLevel="0" collapsed="false">
      <c r="A66" s="5" t="s">
        <v>176</v>
      </c>
      <c r="B66" s="13" t="n">
        <v>0.25</v>
      </c>
    </row>
    <row r="67" customFormat="false" ht="14.25" hidden="false" customHeight="true" outlineLevel="0" collapsed="false">
      <c r="A67" s="5" t="s">
        <v>177</v>
      </c>
      <c r="B67" s="13" t="n">
        <v>0.05</v>
      </c>
    </row>
    <row r="68" customFormat="false" ht="14.25" hidden="false" customHeight="true" outlineLevel="0" collapsed="false">
      <c r="A68" s="5" t="s">
        <v>178</v>
      </c>
      <c r="B68" s="13" t="n">
        <v>0.07</v>
      </c>
    </row>
    <row r="69" customFormat="false" ht="14.25" hidden="false" customHeight="true" outlineLevel="0" collapsed="false">
      <c r="A69" s="5" t="s">
        <v>179</v>
      </c>
      <c r="B69" s="13" t="n">
        <v>0.75</v>
      </c>
    </row>
    <row r="70" customFormat="false" ht="14.25" hidden="false" customHeight="true" outlineLevel="0" collapsed="false">
      <c r="A70" s="5" t="s">
        <v>180</v>
      </c>
      <c r="B70" s="13" t="n">
        <v>0.85</v>
      </c>
    </row>
    <row r="71" customFormat="false" ht="14.25" hidden="false" customHeight="true" outlineLevel="0" collapsed="false">
      <c r="A71" s="5" t="s">
        <v>181</v>
      </c>
      <c r="B71" s="13" t="n">
        <v>0.95</v>
      </c>
    </row>
    <row r="72" customFormat="false" ht="14.25" hidden="false" customHeight="true" outlineLevel="0" collapsed="false">
      <c r="A72" s="5" t="s">
        <v>182</v>
      </c>
      <c r="B72" s="13" t="n">
        <v>0.6</v>
      </c>
    </row>
    <row r="73" customFormat="false" ht="14.25" hidden="false" customHeight="true" outlineLevel="0" collapsed="false">
      <c r="A73" s="5" t="s">
        <v>183</v>
      </c>
      <c r="B73" s="13" t="n">
        <v>0.7</v>
      </c>
    </row>
    <row r="74" customFormat="false" ht="14.25" hidden="false" customHeight="true" outlineLevel="0" collapsed="false">
      <c r="A74" s="5" t="s">
        <v>184</v>
      </c>
      <c r="B74" s="13" t="n">
        <v>0.8</v>
      </c>
    </row>
    <row r="75" customFormat="false" ht="14.25" hidden="false" customHeight="true" outlineLevel="0" collapsed="false">
      <c r="A75" s="5" t="s">
        <v>185</v>
      </c>
      <c r="B75" s="13" t="n">
        <v>0.5</v>
      </c>
    </row>
    <row r="76" customFormat="false" ht="14.25" hidden="false" customHeight="true" outlineLevel="0" collapsed="false">
      <c r="A76" s="10" t="s">
        <v>186</v>
      </c>
      <c r="B76" s="11"/>
    </row>
    <row r="77" customFormat="false" ht="14.25" hidden="false" customHeight="true" outlineLevel="0" collapsed="false">
      <c r="A77" s="5" t="s">
        <v>187</v>
      </c>
      <c r="B77" s="13" t="n">
        <v>0.3</v>
      </c>
    </row>
    <row r="78" customFormat="false" ht="14.25" hidden="false" customHeight="true" outlineLevel="0" collapsed="false">
      <c r="A78" s="5" t="s">
        <v>188</v>
      </c>
      <c r="B78" s="13" t="n">
        <v>0.15</v>
      </c>
    </row>
    <row r="79" customFormat="false" ht="14.25" hidden="false" customHeight="true" outlineLevel="0" collapsed="false">
      <c r="A79" s="5" t="s">
        <v>189</v>
      </c>
      <c r="B79" s="13" t="n">
        <v>0.05</v>
      </c>
    </row>
    <row r="80" customFormat="false" ht="14.25" hidden="false" customHeight="true" outlineLevel="0" collapsed="false">
      <c r="A80" s="5" t="s">
        <v>190</v>
      </c>
      <c r="B80" s="13" t="n">
        <v>0.2</v>
      </c>
    </row>
    <row r="81" customFormat="false" ht="14.25" hidden="false" customHeight="true" outlineLevel="0" collapsed="false">
      <c r="A81" s="5" t="s">
        <v>191</v>
      </c>
      <c r="B81" s="13" t="n">
        <v>0.15</v>
      </c>
    </row>
    <row r="82" customFormat="false" ht="14.25" hidden="false" customHeight="true" outlineLevel="0" collapsed="false">
      <c r="A82" s="5" t="s">
        <v>192</v>
      </c>
      <c r="B82" s="16" t="n">
        <v>0</v>
      </c>
    </row>
    <row r="83" customFormat="false" ht="14.25" hidden="false" customHeight="true" outlineLevel="0" collapsed="false">
      <c r="A83" s="5" t="s">
        <v>193</v>
      </c>
      <c r="B83" s="16" t="n">
        <v>0</v>
      </c>
    </row>
    <row r="84" customFormat="false" ht="14.25" hidden="false" customHeight="true" outlineLevel="0" collapsed="false">
      <c r="A84" s="5" t="s">
        <v>194</v>
      </c>
      <c r="B84" s="17" t="n">
        <v>0</v>
      </c>
    </row>
    <row r="85" customFormat="false" ht="14.25" hidden="false" customHeight="true" outlineLevel="0" collapsed="false">
      <c r="A85" s="5" t="s">
        <v>195</v>
      </c>
      <c r="B85" s="12" t="n">
        <v>160</v>
      </c>
    </row>
    <row r="86" customFormat="false" ht="14.25" hidden="false" customHeight="true" outlineLevel="0" collapsed="false">
      <c r="A86" s="5" t="s">
        <v>196</v>
      </c>
      <c r="B86" s="13" t="n">
        <v>0.2</v>
      </c>
    </row>
    <row r="87" customFormat="false" ht="14.25" hidden="false" customHeight="true" outlineLevel="0" collapsed="false">
      <c r="A87" s="5" t="s">
        <v>197</v>
      </c>
      <c r="B87" s="13" t="n">
        <v>0.2</v>
      </c>
    </row>
    <row r="88" customFormat="false" ht="14.25" hidden="false" customHeight="true" outlineLevel="0" collapsed="false">
      <c r="A88" s="5" t="s">
        <v>198</v>
      </c>
      <c r="B88" s="13" t="n">
        <v>0.105</v>
      </c>
    </row>
    <row r="89" customFormat="false" ht="14.25" hidden="false" customHeight="true" outlineLevel="0" collapsed="false">
      <c r="A89" s="10" t="s">
        <v>199</v>
      </c>
      <c r="B89" s="11"/>
    </row>
    <row r="90" customFormat="false" ht="14.25" hidden="false" customHeight="true" outlineLevel="0" collapsed="false">
      <c r="A90" s="5" t="s">
        <v>200</v>
      </c>
      <c r="B90" s="12" t="n">
        <v>50</v>
      </c>
    </row>
    <row r="91" customFormat="false" ht="14.25" hidden="false" customHeight="true" outlineLevel="0" collapsed="false">
      <c r="A91" s="5" t="s">
        <v>201</v>
      </c>
      <c r="B91" s="12" t="n">
        <v>15</v>
      </c>
    </row>
    <row r="92" customFormat="false" ht="14.25" hidden="false" customHeight="true" outlineLevel="0" collapsed="false">
      <c r="A92" s="5" t="s">
        <v>202</v>
      </c>
      <c r="B92" s="12" t="n">
        <v>7</v>
      </c>
    </row>
    <row r="93" customFormat="false" ht="14.25" hidden="false" customHeight="true" outlineLevel="0" collapsed="false">
      <c r="A93" s="6" t="s">
        <v>203</v>
      </c>
    </row>
    <row r="94" customFormat="false" ht="14.25" hidden="false" customHeight="true" outlineLevel="0" collapsed="false">
      <c r="A94" s="1" t="s">
        <v>204</v>
      </c>
      <c r="B94" s="18" t="n">
        <v>600</v>
      </c>
    </row>
    <row r="95" customFormat="false" ht="14.25" hidden="false" customHeight="true" outlineLevel="0" collapsed="false">
      <c r="A95" s="1" t="s">
        <v>205</v>
      </c>
      <c r="B95" s="18" t="n">
        <v>25000</v>
      </c>
    </row>
    <row r="96" customFormat="false" ht="14.25" hidden="false" customHeight="true" outlineLevel="0" collapsed="false">
      <c r="A96" s="1" t="s">
        <v>206</v>
      </c>
      <c r="B96" s="18" t="n">
        <v>264</v>
      </c>
    </row>
    <row r="97" customFormat="false" ht="14.25" hidden="false" customHeight="true" outlineLevel="0" collapsed="false">
      <c r="A97" s="1" t="s">
        <v>207</v>
      </c>
      <c r="B97" s="18" t="n">
        <v>35000</v>
      </c>
    </row>
    <row r="98" customFormat="false" ht="14.25" hidden="false" customHeight="true" outlineLevel="0" collapsed="false">
      <c r="A98" s="1" t="s">
        <v>208</v>
      </c>
      <c r="B98" s="19" t="n">
        <v>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47" activeCellId="0" sqref="E47"/>
    </sheetView>
  </sheetViews>
  <sheetFormatPr defaultColWidth="8.6796875" defaultRowHeight="14.25" zeroHeight="false" outlineLevelRow="0" outlineLevelCol="0"/>
  <cols>
    <col collapsed="false" customWidth="true" hidden="false" outlineLevel="0" max="9" min="1" style="1" width="15"/>
  </cols>
  <sheetData>
    <row r="1" customFormat="false" ht="18" hidden="false" customHeight="true" outlineLevel="0" collapsed="false">
      <c r="A1" s="8" t="s">
        <v>209</v>
      </c>
    </row>
    <row r="2" customFormat="false" ht="14.25" hidden="false" customHeight="true" outlineLevel="0" collapsed="false">
      <c r="A2" s="9" t="s">
        <v>210</v>
      </c>
      <c r="B2" s="9" t="s">
        <v>211</v>
      </c>
      <c r="C2" s="9" t="s">
        <v>212</v>
      </c>
      <c r="D2" s="9" t="s">
        <v>213</v>
      </c>
      <c r="E2" s="9" t="s">
        <v>214</v>
      </c>
      <c r="F2" s="9" t="s">
        <v>215</v>
      </c>
      <c r="G2" s="9" t="s">
        <v>216</v>
      </c>
      <c r="H2" s="9" t="s">
        <v>217</v>
      </c>
      <c r="I2" s="9" t="s">
        <v>218</v>
      </c>
    </row>
    <row r="3" customFormat="false" ht="14.25" hidden="true" customHeight="true" outlineLevel="0" collapsed="false">
      <c r="A3" s="5" t="n">
        <v>1</v>
      </c>
      <c r="B3" s="20" t="n">
        <f aca="false">(3*(A3/CONSTR_M)^2-2*(A3/CONSTR_M)^3)-(3*((A3-1)/CONSTR_M)^2-2*((A3-1)/CONSTR_M)^3)</f>
        <v>0.00227194787379973</v>
      </c>
      <c r="C3" s="21" t="n">
        <f aca="false">B3*Capex!$B$9</f>
        <v>10591137.7674897</v>
      </c>
      <c r="D3" s="21" t="n">
        <f aca="false">IF(A3&gt;CONSTR_M-6,(FFE+PREOPEN)/6,0)</f>
        <v>0</v>
      </c>
      <c r="E3" s="21" t="n">
        <f aca="false">IF(A3=1,Capex!$B$15,0)</f>
        <v>18542697.3</v>
      </c>
      <c r="F3" s="21" t="n">
        <f aca="false">0</f>
        <v>0</v>
      </c>
      <c r="G3" s="21" t="n">
        <f aca="false">F3*RATE/12</f>
        <v>0</v>
      </c>
      <c r="H3" s="21" t="n">
        <f aca="false">DEBT_SHARE*(C3+D3+E3+G3)</f>
        <v>7283458.76687243</v>
      </c>
      <c r="I3" s="21" t="n">
        <f aca="false">F3+H3</f>
        <v>7283458.76687243</v>
      </c>
    </row>
    <row r="4" customFormat="false" ht="14.25" hidden="true" customHeight="true" outlineLevel="0" collapsed="false">
      <c r="A4" s="5" t="n">
        <v>2</v>
      </c>
      <c r="B4" s="20" t="n">
        <f aca="false">(3*(A4/CONSTR_M)^2-2*(A4/CONSTR_M)^3)-(3*((A4-1)/CONSTR_M)^2-2*((A4-1)/CONSTR_M)^3)</f>
        <v>0.00664437585733882</v>
      </c>
      <c r="C4" s="21" t="n">
        <f aca="false">B4*Capex!$B$9</f>
        <v>30974082.1502058</v>
      </c>
      <c r="D4" s="21" t="n">
        <f aca="false">IF(A4&gt;CONSTR_M-6,(FFE+PREOPEN)/6,0)</f>
        <v>0</v>
      </c>
      <c r="E4" s="21" t="n">
        <f aca="false">IF(A4=1,Capex!$B$15,0)</f>
        <v>0</v>
      </c>
      <c r="F4" s="21" t="n">
        <f aca="false">I3</f>
        <v>7283458.76687243</v>
      </c>
      <c r="G4" s="21" t="n">
        <f aca="false">F4*RATE/12</f>
        <v>121390.979447874</v>
      </c>
      <c r="H4" s="21" t="n">
        <f aca="false">DEBT_SHARE*(C4+D4+E4+G4)</f>
        <v>7773868.28241341</v>
      </c>
      <c r="I4" s="21" t="n">
        <f aca="false">F4+H4</f>
        <v>15057327.0492858</v>
      </c>
    </row>
    <row r="5" customFormat="false" ht="14.25" hidden="true" customHeight="true" outlineLevel="0" collapsed="false">
      <c r="A5" s="5" t="n">
        <v>3</v>
      </c>
      <c r="B5" s="20" t="n">
        <f aca="false">(3*(A5/CONSTR_M)^2-2*(A5/CONSTR_M)^3)-(3*((A5-1)/CONSTR_M)^2-2*((A5-1)/CONSTR_M)^3)</f>
        <v>0.0107596021947874</v>
      </c>
      <c r="C5" s="21" t="n">
        <f aca="false">B5*Capex!$B$9</f>
        <v>50158029.8045268</v>
      </c>
      <c r="D5" s="21" t="n">
        <f aca="false">IF(A5&gt;CONSTR_M-6,(FFE+PREOPEN)/6,0)</f>
        <v>0</v>
      </c>
      <c r="E5" s="21" t="n">
        <f aca="false">IF(A5=1,Capex!$B$15,0)</f>
        <v>0</v>
      </c>
      <c r="F5" s="21" t="n">
        <f aca="false">I4</f>
        <v>15057327.0492858</v>
      </c>
      <c r="G5" s="21" t="n">
        <f aca="false">F5*RATE/12</f>
        <v>250955.450821431</v>
      </c>
      <c r="H5" s="21" t="n">
        <f aca="false">DEBT_SHARE*(C5+D5+E5+G5)</f>
        <v>12602246.313837</v>
      </c>
      <c r="I5" s="21" t="n">
        <f aca="false">F5+H5</f>
        <v>27659573.3631229</v>
      </c>
    </row>
    <row r="6" customFormat="false" ht="14.25" hidden="true" customHeight="true" outlineLevel="0" collapsed="false">
      <c r="A6" s="5" t="n">
        <v>4</v>
      </c>
      <c r="B6" s="20" t="n">
        <f aca="false">(3*(A6/CONSTR_M)^2-2*(A6/CONSTR_M)^3)-(3*((A6-1)/CONSTR_M)^2-2*((A6-1)/CONSTR_M)^3)</f>
        <v>0.0146176268861454</v>
      </c>
      <c r="C6" s="21" t="n">
        <f aca="false">B6*Capex!$B$9</f>
        <v>68142980.7304527</v>
      </c>
      <c r="D6" s="21" t="n">
        <f aca="false">IF(A6&gt;CONSTR_M-6,(FFE+PREOPEN)/6,0)</f>
        <v>0</v>
      </c>
      <c r="E6" s="21" t="n">
        <f aca="false">IF(A6=1,Capex!$B$15,0)</f>
        <v>0</v>
      </c>
      <c r="F6" s="21" t="n">
        <f aca="false">I5</f>
        <v>27659573.3631229</v>
      </c>
      <c r="G6" s="21" t="n">
        <f aca="false">F6*RATE/12</f>
        <v>460992.889385381</v>
      </c>
      <c r="H6" s="21" t="n">
        <f aca="false">DEBT_SHARE*(C6+D6+E6+G6)</f>
        <v>17150993.4049595</v>
      </c>
      <c r="I6" s="21" t="n">
        <f aca="false">F6+H6</f>
        <v>44810566.7680824</v>
      </c>
    </row>
    <row r="7" customFormat="false" ht="14.25" hidden="true" customHeight="true" outlineLevel="0" collapsed="false">
      <c r="A7" s="5" t="n">
        <v>5</v>
      </c>
      <c r="B7" s="20" t="n">
        <f aca="false">(3*(A7/CONSTR_M)^2-2*(A7/CONSTR_M)^3)-(3*((A7-1)/CONSTR_M)^2-2*((A7-1)/CONSTR_M)^3)</f>
        <v>0.0182184499314129</v>
      </c>
      <c r="C7" s="21" t="n">
        <f aca="false">B7*Capex!$B$9</f>
        <v>84928934.9279836</v>
      </c>
      <c r="D7" s="21" t="n">
        <f aca="false">IF(A7&gt;CONSTR_M-6,(FFE+PREOPEN)/6,0)</f>
        <v>0</v>
      </c>
      <c r="E7" s="21" t="n">
        <f aca="false">IF(A7=1,Capex!$B$15,0)</f>
        <v>0</v>
      </c>
      <c r="F7" s="21" t="n">
        <f aca="false">I6</f>
        <v>44810566.7680824</v>
      </c>
      <c r="G7" s="21" t="n">
        <f aca="false">F7*RATE/12</f>
        <v>746842.77946804</v>
      </c>
      <c r="H7" s="21" t="n">
        <f aca="false">DEBT_SHARE*(C7+D7+E7+G7)</f>
        <v>21418944.4268629</v>
      </c>
      <c r="I7" s="21" t="n">
        <f aca="false">F7+H7</f>
        <v>66229511.1949453</v>
      </c>
    </row>
    <row r="8" customFormat="false" ht="14.25" hidden="true" customHeight="true" outlineLevel="0" collapsed="false">
      <c r="A8" s="5" t="n">
        <v>6</v>
      </c>
      <c r="B8" s="20" t="n">
        <f aca="false">(3*(A8/CONSTR_M)^2-2*(A8/CONSTR_M)^3)-(3*((A8-1)/CONSTR_M)^2-2*((A8-1)/CONSTR_M)^3)</f>
        <v>0.0215620713305898</v>
      </c>
      <c r="C8" s="21" t="n">
        <f aca="false">B8*Capex!$B$9</f>
        <v>100515892.397119</v>
      </c>
      <c r="D8" s="21" t="n">
        <f aca="false">IF(A8&gt;CONSTR_M-6,(FFE+PREOPEN)/6,0)</f>
        <v>0</v>
      </c>
      <c r="E8" s="21" t="n">
        <f aca="false">IF(A8=1,Capex!$B$15,0)</f>
        <v>0</v>
      </c>
      <c r="F8" s="21" t="n">
        <f aca="false">I7</f>
        <v>66229511.1949453</v>
      </c>
      <c r="G8" s="21" t="n">
        <f aca="false">F8*RATE/12</f>
        <v>1103825.18658242</v>
      </c>
      <c r="H8" s="21" t="n">
        <f aca="false">DEBT_SHARE*(C8+D8+E8+G8)</f>
        <v>25404929.3959254</v>
      </c>
      <c r="I8" s="21" t="n">
        <f aca="false">F8+H8</f>
        <v>91634440.5908707</v>
      </c>
    </row>
    <row r="9" customFormat="false" ht="14.25" hidden="true" customHeight="true" outlineLevel="0" collapsed="false">
      <c r="A9" s="5" t="n">
        <v>7</v>
      </c>
      <c r="B9" s="20" t="n">
        <f aca="false">(3*(A9/CONSTR_M)^2-2*(A9/CONSTR_M)^3)-(3*((A9-1)/CONSTR_M)^2-2*((A9-1)/CONSTR_M)^3)</f>
        <v>0.0246484910836763</v>
      </c>
      <c r="C9" s="21" t="n">
        <f aca="false">B9*Capex!$B$9</f>
        <v>114903853.13786</v>
      </c>
      <c r="D9" s="21" t="n">
        <f aca="false">IF(A9&gt;CONSTR_M-6,(FFE+PREOPEN)/6,0)</f>
        <v>0</v>
      </c>
      <c r="E9" s="21" t="n">
        <f aca="false">IF(A9=1,Capex!$B$15,0)</f>
        <v>0</v>
      </c>
      <c r="F9" s="21" t="n">
        <f aca="false">I8</f>
        <v>91634440.5908707</v>
      </c>
      <c r="G9" s="21" t="n">
        <f aca="false">F9*RATE/12</f>
        <v>1527240.67651451</v>
      </c>
      <c r="H9" s="21" t="n">
        <f aca="false">DEBT_SHARE*(C9+D9+E9+G9)</f>
        <v>29107773.4535937</v>
      </c>
      <c r="I9" s="21" t="n">
        <f aca="false">F9+H9</f>
        <v>120742214.044464</v>
      </c>
    </row>
    <row r="10" customFormat="false" ht="14.25" hidden="true" customHeight="true" outlineLevel="0" collapsed="false">
      <c r="A10" s="5" t="n">
        <v>8</v>
      </c>
      <c r="B10" s="20" t="n">
        <f aca="false">(3*(A10/CONSTR_M)^2-2*(A10/CONSTR_M)^3)-(3*((A10-1)/CONSTR_M)^2-2*((A10-1)/CONSTR_M)^3)</f>
        <v>0.0274777091906721</v>
      </c>
      <c r="C10" s="21" t="n">
        <f aca="false">B10*Capex!$B$9</f>
        <v>128092817.150206</v>
      </c>
      <c r="D10" s="21" t="n">
        <f aca="false">IF(A10&gt;CONSTR_M-6,(FFE+PREOPEN)/6,0)</f>
        <v>0</v>
      </c>
      <c r="E10" s="21" t="n">
        <f aca="false">IF(A10=1,Capex!$B$15,0)</f>
        <v>0</v>
      </c>
      <c r="F10" s="21" t="n">
        <f aca="false">I9</f>
        <v>120742214.044464</v>
      </c>
      <c r="G10" s="21" t="n">
        <f aca="false">F10*RATE/12</f>
        <v>2012370.23407441</v>
      </c>
      <c r="H10" s="21" t="n">
        <f aca="false">DEBT_SHARE*(C10+D10+E10+G10)</f>
        <v>32526296.84607</v>
      </c>
      <c r="I10" s="21" t="n">
        <f aca="false">F10+H10</f>
        <v>153268510.890534</v>
      </c>
    </row>
    <row r="11" customFormat="false" ht="14.25" hidden="true" customHeight="true" outlineLevel="0" collapsed="false">
      <c r="A11" s="5" t="n">
        <v>9</v>
      </c>
      <c r="B11" s="20" t="n">
        <f aca="false">(3*(A11/CONSTR_M)^2-2*(A11/CONSTR_M)^3)-(3*((A11-1)/CONSTR_M)^2-2*((A11-1)/CONSTR_M)^3)</f>
        <v>0.0300497256515775</v>
      </c>
      <c r="C11" s="21" t="n">
        <f aca="false">B11*Capex!$B$9</f>
        <v>140082784.434156</v>
      </c>
      <c r="D11" s="21" t="n">
        <f aca="false">IF(A11&gt;CONSTR_M-6,(FFE+PREOPEN)/6,0)</f>
        <v>0</v>
      </c>
      <c r="E11" s="21" t="n">
        <f aca="false">IF(A11=1,Capex!$B$15,0)</f>
        <v>0</v>
      </c>
      <c r="F11" s="21" t="n">
        <f aca="false">I10</f>
        <v>153268510.890534</v>
      </c>
      <c r="G11" s="21" t="n">
        <f aca="false">F11*RATE/12</f>
        <v>2554475.18150891</v>
      </c>
      <c r="H11" s="21" t="n">
        <f aca="false">DEBT_SHARE*(C11+D11+E11+G11)</f>
        <v>35659314.9039163</v>
      </c>
      <c r="I11" s="21" t="n">
        <f aca="false">F11+H11</f>
        <v>188927825.794451</v>
      </c>
    </row>
    <row r="12" customFormat="false" ht="14.25" hidden="true" customHeight="true" outlineLevel="0" collapsed="false">
      <c r="A12" s="5" t="n">
        <v>10</v>
      </c>
      <c r="B12" s="20" t="n">
        <f aca="false">(3*(A12/CONSTR_M)^2-2*(A12/CONSTR_M)^3)-(3*((A12-1)/CONSTR_M)^2-2*((A12-1)/CONSTR_M)^3)</f>
        <v>0.0323645404663923</v>
      </c>
      <c r="C12" s="21" t="n">
        <f aca="false">B12*Capex!$B$9</f>
        <v>150873754.989712</v>
      </c>
      <c r="D12" s="21" t="n">
        <f aca="false">IF(A12&gt;CONSTR_M-6,(FFE+PREOPEN)/6,0)</f>
        <v>0</v>
      </c>
      <c r="E12" s="21" t="n">
        <f aca="false">IF(A12=1,Capex!$B$15,0)</f>
        <v>0</v>
      </c>
      <c r="F12" s="21" t="n">
        <f aca="false">I11</f>
        <v>188927825.794451</v>
      </c>
      <c r="G12" s="21" t="n">
        <f aca="false">F12*RATE/12</f>
        <v>3148797.09657418</v>
      </c>
      <c r="H12" s="21" t="n">
        <f aca="false">DEBT_SHARE*(C12+D12+E12+G12)</f>
        <v>38505638.0215716</v>
      </c>
      <c r="I12" s="21" t="n">
        <f aca="false">F12+H12</f>
        <v>227433463.816022</v>
      </c>
    </row>
    <row r="13" customFormat="false" ht="14.25" hidden="true" customHeight="true" outlineLevel="0" collapsed="false">
      <c r="A13" s="5" t="n">
        <v>11</v>
      </c>
      <c r="B13" s="20" t="n">
        <f aca="false">(3*(A13/CONSTR_M)^2-2*(A13/CONSTR_M)^3)-(3*((A13-1)/CONSTR_M)^2-2*((A13-1)/CONSTR_M)^3)</f>
        <v>0.0344221536351166</v>
      </c>
      <c r="C13" s="21" t="n">
        <f aca="false">B13*Capex!$B$9</f>
        <v>160465728.816872</v>
      </c>
      <c r="D13" s="21" t="n">
        <f aca="false">IF(A13&gt;CONSTR_M-6,(FFE+PREOPEN)/6,0)</f>
        <v>0</v>
      </c>
      <c r="E13" s="21" t="n">
        <f aca="false">IF(A13=1,Capex!$B$15,0)</f>
        <v>0</v>
      </c>
      <c r="F13" s="21" t="n">
        <f aca="false">I12</f>
        <v>227433463.816022</v>
      </c>
      <c r="G13" s="21" t="n">
        <f aca="false">F13*RATE/12</f>
        <v>3790557.73026704</v>
      </c>
      <c r="H13" s="21" t="n">
        <f aca="false">DEBT_SHARE*(C13+D13+E13+G13)</f>
        <v>41064071.6367849</v>
      </c>
      <c r="I13" s="21" t="n">
        <f aca="false">F13+H13</f>
        <v>268497535.452807</v>
      </c>
    </row>
    <row r="14" customFormat="false" ht="14.25" hidden="true" customHeight="true" outlineLevel="0" collapsed="false">
      <c r="A14" s="5" t="n">
        <v>12</v>
      </c>
      <c r="B14" s="20" t="n">
        <f aca="false">(3*(A14/CONSTR_M)^2-2*(A14/CONSTR_M)^3)-(3*((A14-1)/CONSTR_M)^2-2*((A14-1)/CONSTR_M)^3)</f>
        <v>0.0362225651577503</v>
      </c>
      <c r="C14" s="21" t="n">
        <f aca="false">B14*Capex!$B$9</f>
        <v>168858705.915638</v>
      </c>
      <c r="D14" s="21" t="n">
        <f aca="false">IF(A14&gt;CONSTR_M-6,(FFE+PREOPEN)/6,0)</f>
        <v>0</v>
      </c>
      <c r="E14" s="21" t="n">
        <f aca="false">IF(A14=1,Capex!$B$15,0)</f>
        <v>0</v>
      </c>
      <c r="F14" s="21" t="n">
        <f aca="false">I13</f>
        <v>268497535.452807</v>
      </c>
      <c r="G14" s="21" t="n">
        <f aca="false">F14*RATE/12</f>
        <v>4474958.92421345</v>
      </c>
      <c r="H14" s="21" t="n">
        <f aca="false">DEBT_SHARE*(C14+D14+E14+G14)</f>
        <v>43333416.2099628</v>
      </c>
      <c r="I14" s="21" t="n">
        <f aca="false">F14+H14</f>
        <v>311830951.66277</v>
      </c>
    </row>
    <row r="15" customFormat="false" ht="14.25" hidden="true" customHeight="true" outlineLevel="0" collapsed="false">
      <c r="A15" s="5" t="n">
        <v>13</v>
      </c>
      <c r="B15" s="20" t="n">
        <f aca="false">(3*(A15/CONSTR_M)^2-2*(A15/CONSTR_M)^3)-(3*((A15-1)/CONSTR_M)^2-2*((A15-1)/CONSTR_M)^3)</f>
        <v>0.0377657750342936</v>
      </c>
      <c r="C15" s="21" t="n">
        <f aca="false">B15*Capex!$B$9</f>
        <v>176052686.286008</v>
      </c>
      <c r="D15" s="21" t="n">
        <f aca="false">IF(A15&gt;CONSTR_M-6,(FFE+PREOPEN)/6,0)</f>
        <v>0</v>
      </c>
      <c r="E15" s="21" t="n">
        <f aca="false">IF(A15=1,Capex!$B$15,0)</f>
        <v>0</v>
      </c>
      <c r="F15" s="21" t="n">
        <f aca="false">I14</f>
        <v>311830951.66277</v>
      </c>
      <c r="G15" s="21" t="n">
        <f aca="false">F15*RATE/12</f>
        <v>5197182.52771283</v>
      </c>
      <c r="H15" s="21" t="n">
        <f aca="false">DEBT_SHARE*(C15+D15+E15+G15)</f>
        <v>45312467.2034303</v>
      </c>
      <c r="I15" s="21" t="n">
        <f aca="false">F15+H15</f>
        <v>357143418.8662</v>
      </c>
    </row>
    <row r="16" customFormat="false" ht="14.25" hidden="true" customHeight="true" outlineLevel="0" collapsed="false">
      <c r="A16" s="5" t="n">
        <v>14</v>
      </c>
      <c r="B16" s="20" t="n">
        <f aca="false">(3*(A16/CONSTR_M)^2-2*(A16/CONSTR_M)^3)-(3*((A16-1)/CONSTR_M)^2-2*((A16-1)/CONSTR_M)^3)</f>
        <v>0.0390517832647462</v>
      </c>
      <c r="C16" s="21" t="n">
        <f aca="false">B16*Capex!$B$9</f>
        <v>182047669.927984</v>
      </c>
      <c r="D16" s="21" t="n">
        <f aca="false">IF(A16&gt;CONSTR_M-6,(FFE+PREOPEN)/6,0)</f>
        <v>0</v>
      </c>
      <c r="E16" s="21" t="n">
        <f aca="false">IF(A16=1,Capex!$B$15,0)</f>
        <v>0</v>
      </c>
      <c r="F16" s="21" t="n">
        <f aca="false">I15</f>
        <v>357143418.8662</v>
      </c>
      <c r="G16" s="21" t="n">
        <f aca="false">F16*RATE/12</f>
        <v>5952390.31443667</v>
      </c>
      <c r="H16" s="21" t="n">
        <f aca="false">DEBT_SHARE*(C16+D16+E16+G16)</f>
        <v>47000015.0606051</v>
      </c>
      <c r="I16" s="21" t="n">
        <f aca="false">F16+H16</f>
        <v>404143433.926805</v>
      </c>
    </row>
    <row r="17" customFormat="false" ht="14.25" hidden="true" customHeight="true" outlineLevel="0" collapsed="false">
      <c r="A17" s="5" t="n">
        <v>15</v>
      </c>
      <c r="B17" s="20" t="n">
        <f aca="false">(3*(A17/CONSTR_M)^2-2*(A17/CONSTR_M)^3)-(3*((A17-1)/CONSTR_M)^2-2*((A17-1)/CONSTR_M)^3)</f>
        <v>0.0400805898491084</v>
      </c>
      <c r="C17" s="21" t="n">
        <f aca="false">B17*Capex!$B$9</f>
        <v>186843656.841564</v>
      </c>
      <c r="D17" s="21" t="n">
        <f aca="false">IF(A17&gt;CONSTR_M-6,(FFE+PREOPEN)/6,0)</f>
        <v>0</v>
      </c>
      <c r="E17" s="21" t="n">
        <f aca="false">IF(A17=1,Capex!$B$15,0)</f>
        <v>0</v>
      </c>
      <c r="F17" s="21" t="n">
        <f aca="false">I16</f>
        <v>404143433.926805</v>
      </c>
      <c r="G17" s="21" t="n">
        <f aca="false">F17*RATE/12</f>
        <v>6735723.89878009</v>
      </c>
      <c r="H17" s="21" t="n">
        <f aca="false">DEBT_SHARE*(C17+D17+E17+G17)</f>
        <v>48394845.185086</v>
      </c>
      <c r="I17" s="21" t="n">
        <f aca="false">F17+H17</f>
        <v>452538279.111891</v>
      </c>
    </row>
    <row r="18" customFormat="false" ht="14.25" hidden="true" customHeight="true" outlineLevel="0" collapsed="false">
      <c r="A18" s="5" t="n">
        <v>16</v>
      </c>
      <c r="B18" s="20" t="n">
        <f aca="false">(3*(A18/CONSTR_M)^2-2*(A18/CONSTR_M)^3)-(3*((A18-1)/CONSTR_M)^2-2*((A18-1)/CONSTR_M)^3)</f>
        <v>0.04085219478738</v>
      </c>
      <c r="C18" s="21" t="n">
        <f aca="false">B18*Capex!$B$9</f>
        <v>190440647.026749</v>
      </c>
      <c r="D18" s="21" t="n">
        <f aca="false">IF(A18&gt;CONSTR_M-6,(FFE+PREOPEN)/6,0)</f>
        <v>0</v>
      </c>
      <c r="E18" s="21" t="n">
        <f aca="false">IF(A18=1,Capex!$B$15,0)</f>
        <v>0</v>
      </c>
      <c r="F18" s="21" t="n">
        <f aca="false">I17</f>
        <v>452538279.111891</v>
      </c>
      <c r="G18" s="21" t="n">
        <f aca="false">F18*RATE/12</f>
        <v>7542304.65186486</v>
      </c>
      <c r="H18" s="21" t="n">
        <f aca="false">DEBT_SHARE*(C18+D18+E18+G18)</f>
        <v>49495737.9196534</v>
      </c>
      <c r="I18" s="21" t="n">
        <f aca="false">F18+H18</f>
        <v>502034017.031545</v>
      </c>
    </row>
    <row r="19" customFormat="false" ht="14.25" hidden="true" customHeight="true" outlineLevel="0" collapsed="false">
      <c r="A19" s="5" t="n">
        <v>17</v>
      </c>
      <c r="B19" s="20" t="n">
        <f aca="false">(3*(A19/CONSTR_M)^2-2*(A19/CONSTR_M)^3)-(3*((A19-1)/CONSTR_M)^2-2*((A19-1)/CONSTR_M)^3)</f>
        <v>0.0413665980795609</v>
      </c>
      <c r="C19" s="21" t="n">
        <f aca="false">B19*Capex!$B$9</f>
        <v>192838640.483539</v>
      </c>
      <c r="D19" s="21" t="n">
        <f aca="false">IF(A19&gt;CONSTR_M-6,(FFE+PREOPEN)/6,0)</f>
        <v>0</v>
      </c>
      <c r="E19" s="21" t="n">
        <f aca="false">IF(A19=1,Capex!$B$15,0)</f>
        <v>0</v>
      </c>
      <c r="F19" s="21" t="n">
        <f aca="false">I18</f>
        <v>502034017.031545</v>
      </c>
      <c r="G19" s="21" t="n">
        <f aca="false">F19*RATE/12</f>
        <v>8367233.61719241</v>
      </c>
      <c r="H19" s="21" t="n">
        <f aca="false">DEBT_SHARE*(C19+D19+E19+G19)</f>
        <v>50301468.5251828</v>
      </c>
      <c r="I19" s="21" t="n">
        <f aca="false">F19+H19</f>
        <v>552335485.556728</v>
      </c>
    </row>
    <row r="20" customFormat="false" ht="14.25" hidden="true" customHeight="true" outlineLevel="0" collapsed="false">
      <c r="A20" s="5" t="n">
        <v>18</v>
      </c>
      <c r="B20" s="20" t="n">
        <f aca="false">(3*(A20/CONSTR_M)^2-2*(A20/CONSTR_M)^3)-(3*((A20-1)/CONSTR_M)^2-2*((A20-1)/CONSTR_M)^3)</f>
        <v>0.0416237997256517</v>
      </c>
      <c r="C20" s="21" t="n">
        <f aca="false">B20*Capex!$B$9</f>
        <v>194037637.211935</v>
      </c>
      <c r="D20" s="21" t="n">
        <f aca="false">IF(A20&gt;CONSTR_M-6,(FFE+PREOPEN)/6,0)</f>
        <v>0</v>
      </c>
      <c r="E20" s="21" t="n">
        <f aca="false">IF(A20=1,Capex!$B$15,0)</f>
        <v>0</v>
      </c>
      <c r="F20" s="21" t="n">
        <f aca="false">I19</f>
        <v>552335485.556728</v>
      </c>
      <c r="G20" s="21" t="n">
        <f aca="false">F20*RATE/12</f>
        <v>9205591.42594546</v>
      </c>
      <c r="H20" s="21" t="n">
        <f aca="false">DEBT_SHARE*(C20+D20+E20+G20)</f>
        <v>50810807.15947</v>
      </c>
      <c r="I20" s="21" t="n">
        <f aca="false">F20+H20</f>
        <v>603146292.716198</v>
      </c>
    </row>
    <row r="21" customFormat="false" ht="14.25" hidden="true" customHeight="true" outlineLevel="0" collapsed="false">
      <c r="A21" s="5" t="n">
        <v>19</v>
      </c>
      <c r="B21" s="20" t="n">
        <f aca="false">(3*(A21/CONSTR_M)^2-2*(A21/CONSTR_M)^3)-(3*((A21-1)/CONSTR_M)^2-2*((A21-1)/CONSTR_M)^3)</f>
        <v>0.0416237997256516</v>
      </c>
      <c r="C21" s="21" t="n">
        <f aca="false">B21*Capex!$B$9</f>
        <v>194037637.211934</v>
      </c>
      <c r="D21" s="21" t="n">
        <f aca="false">IF(A21&gt;CONSTR_M-6,(FFE+PREOPEN)/6,0)</f>
        <v>0</v>
      </c>
      <c r="E21" s="21" t="n">
        <f aca="false">IF(A21=1,Capex!$B$15,0)</f>
        <v>0</v>
      </c>
      <c r="F21" s="21" t="n">
        <f aca="false">I20</f>
        <v>603146292.716198</v>
      </c>
      <c r="G21" s="21" t="n">
        <f aca="false">F21*RATE/12</f>
        <v>10052438.2119366</v>
      </c>
      <c r="H21" s="21" t="n">
        <f aca="false">DEBT_SHARE*(C21+D21+E21+G21)</f>
        <v>51022518.8559677</v>
      </c>
      <c r="I21" s="21" t="n">
        <f aca="false">F21+H21</f>
        <v>654168811.572165</v>
      </c>
    </row>
    <row r="22" customFormat="false" ht="14.25" hidden="true" customHeight="true" outlineLevel="0" collapsed="false">
      <c r="A22" s="5" t="n">
        <v>20</v>
      </c>
      <c r="B22" s="20" t="n">
        <f aca="false">(3*(A22/CONSTR_M)^2-2*(A22/CONSTR_M)^3)-(3*((A22-1)/CONSTR_M)^2-2*((A22-1)/CONSTR_M)^3)</f>
        <v>0.0413665980795611</v>
      </c>
      <c r="C22" s="21" t="n">
        <f aca="false">B22*Capex!$B$9</f>
        <v>192838640.483539</v>
      </c>
      <c r="D22" s="21" t="n">
        <f aca="false">IF(A22&gt;CONSTR_M-6,(FFE+PREOPEN)/6,0)</f>
        <v>0</v>
      </c>
      <c r="E22" s="21" t="n">
        <f aca="false">IF(A22=1,Capex!$B$15,0)</f>
        <v>0</v>
      </c>
      <c r="F22" s="21" t="n">
        <f aca="false">I21</f>
        <v>654168811.572165</v>
      </c>
      <c r="G22" s="21" t="n">
        <f aca="false">F22*RATE/12</f>
        <v>10902813.5262028</v>
      </c>
      <c r="H22" s="21" t="n">
        <f aca="false">DEBT_SHARE*(C22+D22+E22+G22)</f>
        <v>50935363.5024356</v>
      </c>
      <c r="I22" s="21" t="n">
        <f aca="false">F22+H22</f>
        <v>705104175.074601</v>
      </c>
    </row>
    <row r="23" customFormat="false" ht="14.25" hidden="true" customHeight="true" outlineLevel="0" collapsed="false">
      <c r="A23" s="5" t="n">
        <v>21</v>
      </c>
      <c r="B23" s="20" t="n">
        <f aca="false">(3*(A23/CONSTR_M)^2-2*(A23/CONSTR_M)^3)-(3*((A23-1)/CONSTR_M)^2-2*((A23-1)/CONSTR_M)^3)</f>
        <v>0.04085219478738</v>
      </c>
      <c r="C23" s="21" t="n">
        <f aca="false">B23*Capex!$B$9</f>
        <v>190440647.026749</v>
      </c>
      <c r="D23" s="21" t="n">
        <f aca="false">IF(A23&gt;CONSTR_M-6,(FFE+PREOPEN)/6,0)</f>
        <v>0</v>
      </c>
      <c r="E23" s="21" t="n">
        <f aca="false">IF(A23=1,Capex!$B$15,0)</f>
        <v>0</v>
      </c>
      <c r="F23" s="21" t="n">
        <f aca="false">I22</f>
        <v>705104175.074601</v>
      </c>
      <c r="G23" s="21" t="n">
        <f aca="false">F23*RATE/12</f>
        <v>11751736.2512433</v>
      </c>
      <c r="H23" s="21" t="n">
        <f aca="false">DEBT_SHARE*(C23+D23+E23+G23)</f>
        <v>50548095.8194981</v>
      </c>
      <c r="I23" s="21" t="n">
        <f aca="false">F23+H23</f>
        <v>755652270.894099</v>
      </c>
    </row>
    <row r="24" customFormat="false" ht="14.25" hidden="true" customHeight="true" outlineLevel="0" collapsed="false">
      <c r="A24" s="5" t="n">
        <v>22</v>
      </c>
      <c r="B24" s="20" t="n">
        <f aca="false">(3*(A24/CONSTR_M)^2-2*(A24/CONSTR_M)^3)-(3*((A24-1)/CONSTR_M)^2-2*((A24-1)/CONSTR_M)^3)</f>
        <v>0.0400805898491082</v>
      </c>
      <c r="C24" s="21" t="n">
        <f aca="false">B24*Capex!$B$9</f>
        <v>186843656.841563</v>
      </c>
      <c r="D24" s="21" t="n">
        <f aca="false">IF(A24&gt;CONSTR_M-6,(FFE+PREOPEN)/6,0)</f>
        <v>0</v>
      </c>
      <c r="E24" s="21" t="n">
        <f aca="false">IF(A24=1,Capex!$B$15,0)</f>
        <v>0</v>
      </c>
      <c r="F24" s="21" t="n">
        <f aca="false">I23</f>
        <v>755652270.894099</v>
      </c>
      <c r="G24" s="21" t="n">
        <f aca="false">F24*RATE/12</f>
        <v>12594204.5149016</v>
      </c>
      <c r="H24" s="21" t="n">
        <f aca="false">DEBT_SHARE*(C24+D24+E24+G24)</f>
        <v>49859465.3391162</v>
      </c>
      <c r="I24" s="21" t="n">
        <f aca="false">F24+H24</f>
        <v>805511736.233215</v>
      </c>
    </row>
    <row r="25" customFormat="false" ht="14.25" hidden="true" customHeight="true" outlineLevel="0" collapsed="false">
      <c r="A25" s="5" t="n">
        <v>23</v>
      </c>
      <c r="B25" s="20" t="n">
        <f aca="false">(3*(A25/CONSTR_M)^2-2*(A25/CONSTR_M)^3)-(3*((A25-1)/CONSTR_M)^2-2*((A25-1)/CONSTR_M)^3)</f>
        <v>0.0390517832647461</v>
      </c>
      <c r="C25" s="21" t="n">
        <f aca="false">B25*Capex!$B$9</f>
        <v>182047669.927983</v>
      </c>
      <c r="D25" s="21" t="n">
        <f aca="false">IF(A25&gt;CONSTR_M-6,(FFE+PREOPEN)/6,0)</f>
        <v>0</v>
      </c>
      <c r="E25" s="21" t="n">
        <f aca="false">IF(A25=1,Capex!$B$15,0)</f>
        <v>0</v>
      </c>
      <c r="F25" s="21" t="n">
        <f aca="false">I24</f>
        <v>805511736.233215</v>
      </c>
      <c r="G25" s="21" t="n">
        <f aca="false">F25*RATE/12</f>
        <v>13425195.6038869</v>
      </c>
      <c r="H25" s="21" t="n">
        <f aca="false">DEBT_SHARE*(C25+D25+E25+G25)</f>
        <v>48868216.3829675</v>
      </c>
      <c r="I25" s="21" t="n">
        <f aca="false">F25+H25</f>
        <v>854379952.616182</v>
      </c>
    </row>
    <row r="26" customFormat="false" ht="14.25" hidden="true" customHeight="true" outlineLevel="0" collapsed="false">
      <c r="A26" s="5" t="n">
        <v>24</v>
      </c>
      <c r="B26" s="20" t="n">
        <f aca="false">(3*(A26/CONSTR_M)^2-2*(A26/CONSTR_M)^3)-(3*((A26-1)/CONSTR_M)^2-2*((A26-1)/CONSTR_M)^3)</f>
        <v>0.0377657750342938</v>
      </c>
      <c r="C26" s="21" t="n">
        <f aca="false">B26*Capex!$B$9</f>
        <v>176052686.286009</v>
      </c>
      <c r="D26" s="21" t="n">
        <f aca="false">IF(A26&gt;CONSTR_M-6,(FFE+PREOPEN)/6,0)</f>
        <v>0</v>
      </c>
      <c r="E26" s="21" t="n">
        <f aca="false">IF(A26=1,Capex!$B$15,0)</f>
        <v>0</v>
      </c>
      <c r="F26" s="21" t="n">
        <f aca="false">I25</f>
        <v>854379952.616182</v>
      </c>
      <c r="G26" s="21" t="n">
        <f aca="false">F26*RATE/12</f>
        <v>14239665.8769364</v>
      </c>
      <c r="H26" s="21" t="n">
        <f aca="false">DEBT_SHARE*(C26+D26+E26+G26)</f>
        <v>47573088.0407364</v>
      </c>
      <c r="I26" s="21" t="n">
        <f aca="false">F26+H26</f>
        <v>901953040.656919</v>
      </c>
    </row>
    <row r="27" customFormat="false" ht="14.25" hidden="true" customHeight="true" outlineLevel="0" collapsed="false">
      <c r="A27" s="5" t="n">
        <v>25</v>
      </c>
      <c r="B27" s="20" t="n">
        <f aca="false">(3*(A27/CONSTR_M)^2-2*(A27/CONSTR_M)^3)-(3*((A27-1)/CONSTR_M)^2-2*((A27-1)/CONSTR_M)^3)</f>
        <v>0.0362225651577501</v>
      </c>
      <c r="C27" s="21" t="n">
        <f aca="false">B27*Capex!$B$9</f>
        <v>168858705.915637</v>
      </c>
      <c r="D27" s="21" t="n">
        <f aca="false">IF(A27&gt;CONSTR_M-6,(FFE+PREOPEN)/6,0)</f>
        <v>0</v>
      </c>
      <c r="E27" s="21" t="n">
        <f aca="false">IF(A27=1,Capex!$B$15,0)</f>
        <v>0</v>
      </c>
      <c r="F27" s="21" t="n">
        <f aca="false">I26</f>
        <v>901953040.656919</v>
      </c>
      <c r="G27" s="21" t="n">
        <f aca="false">F27*RATE/12</f>
        <v>15032550.6776153</v>
      </c>
      <c r="H27" s="21" t="n">
        <f aca="false">DEBT_SHARE*(C27+D27+E27+G27)</f>
        <v>45972814.148313</v>
      </c>
      <c r="I27" s="21" t="n">
        <f aca="false">F27+H27</f>
        <v>947925854.805232</v>
      </c>
    </row>
    <row r="28" customFormat="false" ht="14.25" hidden="true" customHeight="true" outlineLevel="0" collapsed="false">
      <c r="A28" s="5" t="n">
        <v>26</v>
      </c>
      <c r="B28" s="20" t="n">
        <f aca="false">(3*(A28/CONSTR_M)^2-2*(A28/CONSTR_M)^3)-(3*((A28-1)/CONSTR_M)^2-2*((A28-1)/CONSTR_M)^3)</f>
        <v>0.0344221536351168</v>
      </c>
      <c r="C28" s="21" t="n">
        <f aca="false">B28*Capex!$B$9</f>
        <v>160465728.816873</v>
      </c>
      <c r="D28" s="21" t="n">
        <f aca="false">IF(A28&gt;CONSTR_M-6,(FFE+PREOPEN)/6,0)</f>
        <v>0</v>
      </c>
      <c r="E28" s="21" t="n">
        <f aca="false">IF(A28=1,Capex!$B$15,0)</f>
        <v>0</v>
      </c>
      <c r="F28" s="21" t="n">
        <f aca="false">I27</f>
        <v>947925854.805232</v>
      </c>
      <c r="G28" s="21" t="n">
        <f aca="false">F28*RATE/12</f>
        <v>15798764.2467539</v>
      </c>
      <c r="H28" s="21" t="n">
        <f aca="false">DEBT_SHARE*(C28+D28+E28+G28)</f>
        <v>44066123.2659068</v>
      </c>
      <c r="I28" s="21" t="n">
        <f aca="false">F28+H28</f>
        <v>991991978.071139</v>
      </c>
    </row>
    <row r="29" customFormat="false" ht="14.25" hidden="true" customHeight="true" outlineLevel="0" collapsed="false">
      <c r="A29" s="5" t="n">
        <v>27</v>
      </c>
      <c r="B29" s="20" t="n">
        <f aca="false">(3*(A29/CONSTR_M)^2-2*(A29/CONSTR_M)^3)-(3*((A29-1)/CONSTR_M)^2-2*((A29-1)/CONSTR_M)^3)</f>
        <v>0.0323645404663923</v>
      </c>
      <c r="C29" s="21" t="n">
        <f aca="false">B29*Capex!$B$9</f>
        <v>150873754.989712</v>
      </c>
      <c r="D29" s="21" t="n">
        <f aca="false">IF(A29&gt;CONSTR_M-6,(FFE+PREOPEN)/6,0)</f>
        <v>0</v>
      </c>
      <c r="E29" s="21" t="n">
        <f aca="false">IF(A29=1,Capex!$B$15,0)</f>
        <v>0</v>
      </c>
      <c r="F29" s="21" t="n">
        <f aca="false">I28</f>
        <v>991991978.071139</v>
      </c>
      <c r="G29" s="21" t="n">
        <f aca="false">F29*RATE/12</f>
        <v>16533199.634519</v>
      </c>
      <c r="H29" s="21" t="n">
        <f aca="false">DEBT_SHARE*(C29+D29+E29+G29)</f>
        <v>41851738.6560577</v>
      </c>
      <c r="I29" s="21" t="n">
        <f aca="false">F29+H29</f>
        <v>1033843716.7272</v>
      </c>
    </row>
    <row r="30" customFormat="false" ht="14.25" hidden="true" customHeight="true" outlineLevel="0" collapsed="false">
      <c r="A30" s="5" t="n">
        <v>28</v>
      </c>
      <c r="B30" s="20" t="n">
        <f aca="false">(3*(A30/CONSTR_M)^2-2*(A30/CONSTR_M)^3)-(3*((A30-1)/CONSTR_M)^2-2*((A30-1)/CONSTR_M)^3)</f>
        <v>0.0300497256515775</v>
      </c>
      <c r="C30" s="21" t="n">
        <f aca="false">B30*Capex!$B$9</f>
        <v>140082784.434156</v>
      </c>
      <c r="D30" s="21" t="n">
        <f aca="false">IF(A30&gt;CONSTR_M-6,(FFE+PREOPEN)/6,0)</f>
        <v>0</v>
      </c>
      <c r="E30" s="21" t="n">
        <f aca="false">IF(A30=1,Capex!$B$15,0)</f>
        <v>0</v>
      </c>
      <c r="F30" s="21" t="n">
        <f aca="false">I29</f>
        <v>1033843716.7272</v>
      </c>
      <c r="G30" s="21" t="n">
        <f aca="false">F30*RATE/12</f>
        <v>17230728.6121199</v>
      </c>
      <c r="H30" s="21" t="n">
        <f aca="false">DEBT_SHARE*(C30+D30+E30+G30)</f>
        <v>39328378.2615691</v>
      </c>
      <c r="I30" s="21" t="n">
        <f aca="false">F30+H30</f>
        <v>1073172094.98877</v>
      </c>
    </row>
    <row r="31" customFormat="false" ht="14.25" hidden="true" customHeight="true" outlineLevel="0" collapsed="false">
      <c r="A31" s="5" t="n">
        <v>29</v>
      </c>
      <c r="B31" s="20" t="n">
        <f aca="false">(3*(A31/CONSTR_M)^2-2*(A31/CONSTR_M)^3)-(3*((A31-1)/CONSTR_M)^2-2*((A31-1)/CONSTR_M)^3)</f>
        <v>0.0274777091906724</v>
      </c>
      <c r="C31" s="21" t="n">
        <f aca="false">B31*Capex!$B$9</f>
        <v>128092817.150207</v>
      </c>
      <c r="D31" s="21" t="n">
        <f aca="false">IF(A31&gt;CONSTR_M-6,(FFE+PREOPEN)/6,0)</f>
        <v>0</v>
      </c>
      <c r="E31" s="21" t="n">
        <f aca="false">IF(A31=1,Capex!$B$15,0)</f>
        <v>0</v>
      </c>
      <c r="F31" s="21" t="n">
        <f aca="false">I30</f>
        <v>1073172094.98877</v>
      </c>
      <c r="G31" s="21" t="n">
        <f aca="false">F31*RATE/12</f>
        <v>17886201.5831461</v>
      </c>
      <c r="H31" s="21" t="n">
        <f aca="false">DEBT_SHARE*(C31+D31+E31+G31)</f>
        <v>36494754.6833382</v>
      </c>
      <c r="I31" s="21" t="n">
        <f aca="false">F31+H31</f>
        <v>1109666849.6721</v>
      </c>
    </row>
    <row r="32" customFormat="false" ht="14.25" hidden="true" customHeight="true" outlineLevel="0" collapsed="false">
      <c r="A32" s="5" t="n">
        <v>30</v>
      </c>
      <c r="B32" s="20" t="n">
        <f aca="false">(3*(A32/CONSTR_M)^2-2*(A32/CONSTR_M)^3)-(3*((A32-1)/CONSTR_M)^2-2*((A32-1)/CONSTR_M)^3)</f>
        <v>0.024648491083676</v>
      </c>
      <c r="C32" s="21" t="n">
        <f aca="false">B32*Capex!$B$9</f>
        <v>114903853.137859</v>
      </c>
      <c r="D32" s="21" t="n">
        <f aca="false">IF(A32&gt;CONSTR_M-6,(FFE+PREOPEN)/6,0)</f>
        <v>0</v>
      </c>
      <c r="E32" s="21" t="n">
        <f aca="false">IF(A32=1,Capex!$B$15,0)</f>
        <v>0</v>
      </c>
      <c r="F32" s="21" t="n">
        <f aca="false">I31</f>
        <v>1109666849.6721</v>
      </c>
      <c r="G32" s="21" t="n">
        <f aca="false">F32*RATE/12</f>
        <v>18494447.4945351</v>
      </c>
      <c r="H32" s="21" t="n">
        <f aca="false">DEBT_SHARE*(C32+D32+E32+G32)</f>
        <v>33349575.1580984</v>
      </c>
      <c r="I32" s="21" t="n">
        <f aca="false">F32+H32</f>
        <v>1143016424.8302</v>
      </c>
    </row>
    <row r="33" customFormat="false" ht="14.25" hidden="true" customHeight="true" outlineLevel="0" collapsed="false">
      <c r="A33" s="5" t="n">
        <v>31</v>
      </c>
      <c r="B33" s="20" t="n">
        <f aca="false">(3*(A33/CONSTR_M)^2-2*(A33/CONSTR_M)^3)-(3*((A33-1)/CONSTR_M)^2-2*((A33-1)/CONSTR_M)^3)</f>
        <v>0.02156207133059</v>
      </c>
      <c r="C33" s="21" t="n">
        <f aca="false">B33*Capex!$B$9</f>
        <v>100515892.39712</v>
      </c>
      <c r="D33" s="21" t="n">
        <f aca="false">IF(A33&gt;CONSTR_M-6,(FFE+PREOPEN)/6,0)</f>
        <v>47170000</v>
      </c>
      <c r="E33" s="21" t="n">
        <f aca="false">IF(A33=1,Capex!$B$15,0)</f>
        <v>0</v>
      </c>
      <c r="F33" s="21" t="n">
        <f aca="false">I32</f>
        <v>1143016424.8302</v>
      </c>
      <c r="G33" s="21" t="n">
        <f aca="false">F33*RATE/12</f>
        <v>19050273.74717</v>
      </c>
      <c r="H33" s="21" t="n">
        <f aca="false">DEBT_SHARE*(C33+D33+E33+G33)</f>
        <v>41684041.5360725</v>
      </c>
      <c r="I33" s="21" t="n">
        <f aca="false">F33+H33</f>
        <v>1184700466.36627</v>
      </c>
    </row>
    <row r="34" customFormat="false" ht="14.25" hidden="true" customHeight="true" outlineLevel="0" collapsed="false">
      <c r="A34" s="5" t="n">
        <v>32</v>
      </c>
      <c r="B34" s="20" t="n">
        <f aca="false">(3*(A34/CONSTR_M)^2-2*(A34/CONSTR_M)^3)-(3*((A34-1)/CONSTR_M)^2-2*((A34-1)/CONSTR_M)^3)</f>
        <v>0.0182184499314131</v>
      </c>
      <c r="C34" s="21" t="n">
        <f aca="false">B34*Capex!$B$9</f>
        <v>84928934.9279844</v>
      </c>
      <c r="D34" s="21" t="n">
        <f aca="false">IF(A34&gt;CONSTR_M-6,(FFE+PREOPEN)/6,0)</f>
        <v>47170000</v>
      </c>
      <c r="E34" s="21" t="n">
        <f aca="false">IF(A34=1,Capex!$B$15,0)</f>
        <v>0</v>
      </c>
      <c r="F34" s="21" t="n">
        <f aca="false">I33</f>
        <v>1184700466.36627</v>
      </c>
      <c r="G34" s="21" t="n">
        <f aca="false">F34*RATE/12</f>
        <v>19745007.7727712</v>
      </c>
      <c r="H34" s="21" t="n">
        <f aca="false">DEBT_SHARE*(C34+D34+E34+G34)</f>
        <v>37960985.6751889</v>
      </c>
      <c r="I34" s="21" t="n">
        <f aca="false">F34+H34</f>
        <v>1222661452.04146</v>
      </c>
    </row>
    <row r="35" customFormat="false" ht="14.25" hidden="true" customHeight="true" outlineLevel="0" collapsed="false">
      <c r="A35" s="5" t="n">
        <v>33</v>
      </c>
      <c r="B35" s="20" t="n">
        <f aca="false">(3*(A35/CONSTR_M)^2-2*(A35/CONSTR_M)^3)-(3*((A35-1)/CONSTR_M)^2-2*((A35-1)/CONSTR_M)^3)</f>
        <v>0.0146176268861451</v>
      </c>
      <c r="C35" s="21" t="n">
        <f aca="false">B35*Capex!$B$9</f>
        <v>68142980.7304512</v>
      </c>
      <c r="D35" s="21" t="n">
        <f aca="false">IF(A35&gt;CONSTR_M-6,(FFE+PREOPEN)/6,0)</f>
        <v>47170000</v>
      </c>
      <c r="E35" s="21" t="n">
        <f aca="false">IF(A35=1,Capex!$B$15,0)</f>
        <v>0</v>
      </c>
      <c r="F35" s="21" t="n">
        <f aca="false">I34</f>
        <v>1222661452.04146</v>
      </c>
      <c r="G35" s="21" t="n">
        <f aca="false">F35*RATE/12</f>
        <v>20377690.8673577</v>
      </c>
      <c r="H35" s="21" t="n">
        <f aca="false">DEBT_SHARE*(C35+D35+E35+G35)</f>
        <v>33922667.8994522</v>
      </c>
      <c r="I35" s="21" t="n">
        <f aca="false">F35+H35</f>
        <v>1256584119.94092</v>
      </c>
    </row>
    <row r="36" customFormat="false" ht="14.25" hidden="true" customHeight="true" outlineLevel="0" collapsed="false">
      <c r="A36" s="5" t="n">
        <v>34</v>
      </c>
      <c r="B36" s="20" t="n">
        <f aca="false">(3*(A36/CONSTR_M)^2-2*(A36/CONSTR_M)^3)-(3*((A36-1)/CONSTR_M)^2-2*((A36-1)/CONSTR_M)^3)</f>
        <v>0.0107596021947873</v>
      </c>
      <c r="C36" s="21" t="n">
        <f aca="false">B36*Capex!$B$9</f>
        <v>50158029.8045265</v>
      </c>
      <c r="D36" s="21" t="n">
        <f aca="false">IF(A36&gt;CONSTR_M-6,(FFE+PREOPEN)/6,0)</f>
        <v>47170000</v>
      </c>
      <c r="E36" s="21" t="n">
        <f aca="false">IF(A36=1,Capex!$B$15,0)</f>
        <v>0</v>
      </c>
      <c r="F36" s="21" t="n">
        <f aca="false">I35</f>
        <v>1256584119.94092</v>
      </c>
      <c r="G36" s="21" t="n">
        <f aca="false">F36*RATE/12</f>
        <v>20943068.6656819</v>
      </c>
      <c r="H36" s="21" t="n">
        <f aca="false">DEBT_SHARE*(C36+D36+E36+G36)</f>
        <v>29567774.6175521</v>
      </c>
      <c r="I36" s="21" t="n">
        <f aca="false">F36+H36</f>
        <v>1286151894.55847</v>
      </c>
    </row>
    <row r="37" customFormat="false" ht="14.25" hidden="true" customHeight="true" outlineLevel="0" collapsed="false">
      <c r="A37" s="5" t="n">
        <v>35</v>
      </c>
      <c r="B37" s="20" t="n">
        <f aca="false">(3*(A37/CONSTR_M)^2-2*(A37/CONSTR_M)^3)-(3*((A37-1)/CONSTR_M)^2-2*((A37-1)/CONSTR_M)^3)</f>
        <v>0.0066443758573389</v>
      </c>
      <c r="C37" s="21" t="n">
        <f aca="false">B37*Capex!$B$9</f>
        <v>30974082.1502061</v>
      </c>
      <c r="D37" s="21" t="n">
        <f aca="false">IF(A37&gt;CONSTR_M-6,(FFE+PREOPEN)/6,0)</f>
        <v>47170000</v>
      </c>
      <c r="E37" s="21" t="n">
        <f aca="false">IF(A37=1,Capex!$B$15,0)</f>
        <v>0</v>
      </c>
      <c r="F37" s="21" t="n">
        <f aca="false">I36</f>
        <v>1286151894.55847</v>
      </c>
      <c r="G37" s="21" t="n">
        <f aca="false">F37*RATE/12</f>
        <v>21435864.9093078</v>
      </c>
      <c r="H37" s="21" t="n">
        <f aca="false">DEBT_SHARE*(C37+D37+E37+G37)</f>
        <v>24894986.7648785</v>
      </c>
      <c r="I37" s="21" t="n">
        <f aca="false">F37+H37</f>
        <v>1311046881.32335</v>
      </c>
    </row>
    <row r="38" customFormat="false" ht="14.25" hidden="true" customHeight="true" outlineLevel="0" collapsed="false">
      <c r="A38" s="5" t="n">
        <v>36</v>
      </c>
      <c r="B38" s="20" t="n">
        <f aca="false">(3*(A38/CONSTR_M)^2-2*(A38/CONSTR_M)^3)-(3*((A38-1)/CONSTR_M)^2-2*((A38-1)/CONSTR_M)^3)</f>
        <v>0.00227194787379981</v>
      </c>
      <c r="C38" s="21" t="n">
        <f aca="false">B38*Capex!$B$9</f>
        <v>10591137.7674901</v>
      </c>
      <c r="D38" s="21" t="n">
        <f aca="false">IF(A38&gt;CONSTR_M-6,(FFE+PREOPEN)/6,0)</f>
        <v>47170000</v>
      </c>
      <c r="E38" s="21" t="n">
        <f aca="false">IF(A38=1,Capex!$B$15,0)</f>
        <v>0</v>
      </c>
      <c r="F38" s="21" t="n">
        <f aca="false">I37</f>
        <v>1311046881.32335</v>
      </c>
      <c r="G38" s="21" t="n">
        <f aca="false">F38*RATE/12</f>
        <v>21850781.3553891</v>
      </c>
      <c r="H38" s="21" t="n">
        <f aca="false">DEBT_SHARE*(C38+D38+E38+G38)</f>
        <v>19902979.7807198</v>
      </c>
      <c r="I38" s="21" t="n">
        <f aca="false">F38+H38</f>
        <v>1330949861.10407</v>
      </c>
    </row>
    <row r="39" customFormat="false" ht="14.25" hidden="false" customHeight="true" outlineLevel="0" collapsed="false">
      <c r="A39" s="4" t="s">
        <v>219</v>
      </c>
      <c r="G39" s="22" t="n">
        <f aca="false">SUM(G3:G38)</f>
        <v>360537467.116265</v>
      </c>
      <c r="I39" s="22" t="n">
        <f aca="false">I38</f>
        <v>1330949861.10407</v>
      </c>
    </row>
    <row r="41" customFormat="false" ht="14.25" hidden="false" customHeight="true" outlineLevel="0" collapsed="false">
      <c r="A41" s="23"/>
    </row>
    <row r="42" customFormat="false" ht="14.25" hidden="false" customHeight="true" outlineLevel="0" collapsed="false">
      <c r="A42"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2" topLeftCell="E7" activePane="bottomRight" state="frozen"/>
      <selection pane="topLeft" activeCell="A1" activeCellId="0" sqref="A1"/>
      <selection pane="topRight" activeCell="E1" activeCellId="0" sqref="E1"/>
      <selection pane="bottomLeft" activeCell="A7" activeCellId="0" sqref="A7"/>
      <selection pane="bottomRight" activeCell="B24" activeCellId="0" sqref="B24"/>
    </sheetView>
  </sheetViews>
  <sheetFormatPr defaultColWidth="8.6796875" defaultRowHeight="14.25" zeroHeight="false" outlineLevelRow="0" outlineLevelCol="0"/>
  <cols>
    <col collapsed="false" customWidth="true" hidden="false" outlineLevel="0" max="1" min="1" style="1" width="42"/>
    <col collapsed="false" customWidth="true" hidden="false" outlineLevel="0" max="4" min="2" style="1" width="20"/>
  </cols>
  <sheetData>
    <row r="1" customFormat="false" ht="18" hidden="false" customHeight="true" outlineLevel="0" collapsed="false">
      <c r="A1" s="8" t="s">
        <v>220</v>
      </c>
    </row>
    <row r="2" customFormat="false" ht="14.25" hidden="false" customHeight="true" outlineLevel="0" collapsed="false">
      <c r="A2" s="9" t="s">
        <v>112</v>
      </c>
      <c r="B2" s="9" t="s">
        <v>221</v>
      </c>
      <c r="C2" s="9" t="s">
        <v>222</v>
      </c>
      <c r="D2" s="9" t="s">
        <v>223</v>
      </c>
    </row>
    <row r="3" customFormat="false" ht="14.25" hidden="false" customHeight="true" outlineLevel="0" collapsed="false">
      <c r="A3" s="5" t="s">
        <v>224</v>
      </c>
      <c r="B3" s="24" t="n">
        <f aca="false">BOQ_A+BOQ_B+BOQ_C+BOQ_D+BOQ_E+BOQ_F+BOQ_G+BOQ_H+BOQ_I+BOQ_J</f>
        <v>4064100000</v>
      </c>
      <c r="C3" s="25" t="n">
        <f aca="false">B3/$B$18</f>
        <v>0.592970371099929</v>
      </c>
      <c r="D3" s="26" t="s">
        <v>225</v>
      </c>
    </row>
    <row r="4" customFormat="false" ht="14.25" hidden="false" customHeight="true" outlineLevel="0" collapsed="false">
      <c r="A4" s="5" t="s">
        <v>226</v>
      </c>
      <c r="B4" s="24" t="n">
        <f aca="false">B3*DESIGN_PCT</f>
        <v>81282000</v>
      </c>
      <c r="C4" s="25" t="n">
        <f aca="false">B4/$B$18</f>
        <v>0.0118594074219986</v>
      </c>
      <c r="D4" s="26" t="s">
        <v>227</v>
      </c>
    </row>
    <row r="5" customFormat="false" ht="14.25" hidden="false" customHeight="true" outlineLevel="0" collapsed="false">
      <c r="A5" s="5" t="s">
        <v>141</v>
      </c>
      <c r="B5" s="24" t="n">
        <f aca="false">OA12_FEE</f>
        <v>16849500</v>
      </c>
      <c r="C5" s="25" t="n">
        <f aca="false">B5/$B$18</f>
        <v>0.00245841742768344</v>
      </c>
      <c r="D5" s="26" t="s">
        <v>228</v>
      </c>
    </row>
    <row r="6" customFormat="false" ht="14.25" hidden="false" customHeight="true" outlineLevel="0" collapsed="false">
      <c r="A6" s="5" t="s">
        <v>229</v>
      </c>
      <c r="B6" s="24" t="n">
        <f aca="false">(B3+B4+B5)*CONT_PCT</f>
        <v>499467780</v>
      </c>
      <c r="C6" s="25" t="n">
        <f aca="false">B6/$B$18</f>
        <v>0.0728745835139533</v>
      </c>
      <c r="D6" s="26" t="s">
        <v>230</v>
      </c>
    </row>
    <row r="7" customFormat="false" ht="14.25" hidden="false" customHeight="true" outlineLevel="0" collapsed="false">
      <c r="A7" s="5"/>
      <c r="B7" s="24" t="n">
        <f aca="false">0</f>
        <v>0</v>
      </c>
      <c r="C7" s="25" t="n">
        <f aca="false">B7/$B$18</f>
        <v>0</v>
      </c>
      <c r="D7" s="26"/>
    </row>
    <row r="9" customFormat="false" ht="14.25" hidden="false" customHeight="true" outlineLevel="0" collapsed="false">
      <c r="A9" s="4" t="s">
        <v>231</v>
      </c>
      <c r="B9" s="22" t="n">
        <f aca="false">B3+B4+B5+B6</f>
        <v>4661699280</v>
      </c>
      <c r="C9" s="27" t="n">
        <f aca="false">B9/$B$18</f>
        <v>0.680162779463564</v>
      </c>
    </row>
    <row r="11" customFormat="false" ht="14.25" hidden="false" customHeight="true" outlineLevel="0" collapsed="false">
      <c r="A11" s="5" t="s">
        <v>142</v>
      </c>
      <c r="B11" s="24" t="n">
        <f aca="false">FFE</f>
        <v>163020000</v>
      </c>
      <c r="C11" s="25" t="n">
        <f aca="false">B11/$B$18</f>
        <v>0.0237853472839523</v>
      </c>
      <c r="D11" s="26" t="s">
        <v>232</v>
      </c>
    </row>
    <row r="12" customFormat="false" ht="14.25" hidden="false" customHeight="true" outlineLevel="0" collapsed="false">
      <c r="A12" s="5" t="s">
        <v>233</v>
      </c>
      <c r="B12" s="24" t="n">
        <f aca="false">IDC_TOTAL</f>
        <v>360537467.116265</v>
      </c>
      <c r="C12" s="25" t="n">
        <f aca="false">B12/$B$18</f>
        <v>0.0526040293475456</v>
      </c>
      <c r="D12" s="26" t="s">
        <v>234</v>
      </c>
    </row>
    <row r="13" customFormat="false" ht="14.25" hidden="false" customHeight="true" outlineLevel="0" collapsed="false">
      <c r="A13" s="5"/>
      <c r="B13" s="24" t="n">
        <f aca="false">0</f>
        <v>0</v>
      </c>
      <c r="C13" s="25" t="n">
        <f aca="false">B13/$B$18</f>
        <v>0</v>
      </c>
      <c r="D13" s="26"/>
    </row>
    <row r="15" customFormat="false" ht="14.25" hidden="false" customHeight="true" outlineLevel="0" collapsed="false">
      <c r="A15" s="5" t="s">
        <v>235</v>
      </c>
      <c r="B15" s="21" t="n">
        <f aca="false">ARR_PCT*DEBT_SHARE*(B9+FFE+PREOPEN)</f>
        <v>18542697.3</v>
      </c>
      <c r="C15" s="27" t="n">
        <f aca="false">B15/$B$18</f>
        <v>0.00270546248841678</v>
      </c>
      <c r="D15" s="26" t="s">
        <v>236</v>
      </c>
    </row>
    <row r="16" customFormat="false" ht="14.25" hidden="false" customHeight="true" outlineLevel="0" collapsed="false">
      <c r="A16" s="4" t="s">
        <v>237</v>
      </c>
      <c r="B16" s="22" t="n">
        <f aca="false">B9+B11+B12+B15</f>
        <v>5203799444.41627</v>
      </c>
    </row>
    <row r="17" customFormat="false" ht="14.25" hidden="false" customHeight="true" outlineLevel="0" collapsed="false">
      <c r="A17" s="5" t="s">
        <v>238</v>
      </c>
      <c r="B17" s="24" t="n">
        <f aca="false">PLOT*LAND_RATE</f>
        <v>1650000000</v>
      </c>
      <c r="C17" s="25" t="n">
        <f aca="false">B17/$B$18</f>
        <v>0.240742381416521</v>
      </c>
      <c r="D17" s="26"/>
    </row>
    <row r="18" customFormat="false" ht="14.25" hidden="false" customHeight="true" outlineLevel="0" collapsed="false">
      <c r="A18" s="4" t="s">
        <v>239</v>
      </c>
      <c r="B18" s="28" t="n">
        <f aca="false">B16+B17</f>
        <v>6853799444.41627</v>
      </c>
      <c r="C18" s="27" t="n">
        <f aca="false">B18/$B$18</f>
        <v>1</v>
      </c>
    </row>
    <row r="20" customFormat="false" ht="14.25" hidden="false" customHeight="true" outlineLevel="0" collapsed="false">
      <c r="A20" s="5" t="s">
        <v>143</v>
      </c>
      <c r="B20" s="24" t="n">
        <f aca="false">PREOPEN</f>
        <v>120000000</v>
      </c>
      <c r="D20" s="26"/>
    </row>
    <row r="21" customFormat="false" ht="14.25" hidden="false" customHeight="true" outlineLevel="0" collapsed="false">
      <c r="A21" s="4" t="s">
        <v>240</v>
      </c>
      <c r="B21" s="22" t="n">
        <f aca="false">B18+B20</f>
        <v>6973799444.41627</v>
      </c>
    </row>
    <row r="23" customFormat="false" ht="14.25" hidden="false" customHeight="true" outlineLevel="0" collapsed="false">
      <c r="A23" s="10" t="s">
        <v>241</v>
      </c>
      <c r="B23" s="11"/>
      <c r="C23" s="11"/>
      <c r="D23" s="11"/>
    </row>
    <row r="24" customFormat="false" ht="14.25" hidden="false" customHeight="true" outlineLevel="0" collapsed="false">
      <c r="A24" s="1" t="s">
        <v>242</v>
      </c>
      <c r="B24" s="21" t="n">
        <f aca="false">B16+B20</f>
        <v>5323799444.41627</v>
      </c>
    </row>
    <row r="25" customFormat="false" ht="14.25" hidden="false" customHeight="true" outlineLevel="0" collapsed="false">
      <c r="A25" s="1" t="s">
        <v>243</v>
      </c>
      <c r="B25" s="21" t="n">
        <f aca="false">B24*(1-DEBT_SHARE)</f>
        <v>3992849583.3122</v>
      </c>
    </row>
    <row r="26" customFormat="false" ht="14.25" hidden="false" customHeight="true" outlineLevel="0" collapsed="false">
      <c r="A26" s="1" t="s">
        <v>244</v>
      </c>
      <c r="B26" s="21" t="n">
        <f aca="false">B17</f>
        <v>1650000000</v>
      </c>
    </row>
    <row r="27" customFormat="false" ht="14.25" hidden="false" customHeight="true" outlineLevel="0" collapsed="false">
      <c r="A27" s="1" t="s">
        <v>245</v>
      </c>
      <c r="B27" s="21" t="n">
        <f aca="false">B24*DEBT_SHARE</f>
        <v>1330949861.10407</v>
      </c>
    </row>
    <row r="28" customFormat="false" ht="14.25" hidden="false" customHeight="true" outlineLevel="0" collapsed="false">
      <c r="A28" s="4" t="s">
        <v>246</v>
      </c>
      <c r="B28" s="22" t="n">
        <f aca="false">B25+B26+B27</f>
        <v>6973799444.41627</v>
      </c>
    </row>
    <row r="29" customFormat="false" ht="14.25" hidden="false" customHeight="true" outlineLevel="0" collapsed="false">
      <c r="A29" s="4" t="s">
        <v>247</v>
      </c>
      <c r="B29" s="28" t="n">
        <f aca="false">B28-B21</f>
        <v>0</v>
      </c>
    </row>
    <row r="30" customFormat="false" ht="14.25" hidden="false" customHeight="true" outlineLevel="0" collapsed="false">
      <c r="A30" s="1" t="s">
        <v>248</v>
      </c>
      <c r="B30" s="21" t="n">
        <f aca="false">(CAP_WORKS+FFE)*VAT_R/(1+VAT_R)</f>
        <v>629311210.434783</v>
      </c>
      <c r="D30" s="26"/>
    </row>
    <row r="31" customFormat="false" ht="14.25" hidden="false" customHeight="true" outlineLevel="0" collapsed="false">
      <c r="A31" s="1" t="s">
        <v>249</v>
      </c>
      <c r="B31" s="21" t="n">
        <f aca="false">B18/FX</f>
        <v>42836246.5276017</v>
      </c>
    </row>
    <row r="32" customFormat="false" ht="14.25" hidden="false" customHeight="true" outlineLevel="0" collapsed="false">
      <c r="A32" s="1" t="s">
        <v>250</v>
      </c>
      <c r="B32" s="29" t="n">
        <f aca="false">B18/(ABOVE_GRADE+BASEMENT_A)</f>
        <v>181317.445619478</v>
      </c>
    </row>
    <row r="33" customFormat="false" ht="14.25" hidden="false" customHeight="true" outlineLevel="0" collapsed="false">
      <c r="A33" s="1" t="s">
        <v>251</v>
      </c>
      <c r="B33" s="29" t="n">
        <f aca="false">B18/((ABOVE_GRADE+BASEMENT_A)*0.7)</f>
        <v>259024.92231354</v>
      </c>
      <c r="D33" s="3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1"/>
  <sheetViews>
    <sheetView showFormulas="false" showGridLines="false" showRowColHeaders="true" showZeros="true" rightToLeft="false" tabSelected="false" showOutlineSymbols="true" defaultGridColor="true" view="normal" topLeftCell="A8" colorId="64" zoomScale="100" zoomScaleNormal="100" zoomScalePageLayoutView="100" workbookViewId="0">
      <selection pane="topLeft" activeCell="E25" activeCellId="0" sqref="E25"/>
    </sheetView>
  </sheetViews>
  <sheetFormatPr defaultColWidth="8.6796875" defaultRowHeight="14.25" zeroHeight="false" outlineLevelRow="0" outlineLevelCol="0"/>
  <cols>
    <col collapsed="false" customWidth="true" hidden="false" outlineLevel="0" max="1" min="1" style="1" width="42"/>
    <col collapsed="false" customWidth="true" hidden="false" outlineLevel="0" max="4" min="2" style="1" width="13"/>
    <col collapsed="false" customWidth="true" hidden="false" outlineLevel="0" max="15" min="5" style="1" width="11.27"/>
    <col collapsed="false" customWidth="true" hidden="false" outlineLevel="0" max="16" min="16" style="1" width="12.18"/>
  </cols>
  <sheetData>
    <row r="1" customFormat="false" ht="18" hidden="false" customHeight="true" outlineLevel="0" collapsed="false">
      <c r="A1" s="8" t="s">
        <v>252</v>
      </c>
    </row>
    <row r="2" customFormat="false" ht="14.25" hidden="false" customHeight="true" outlineLevel="0" collapsed="false">
      <c r="A2" s="4" t="s">
        <v>253</v>
      </c>
      <c r="B2" s="9" t="s">
        <v>254</v>
      </c>
      <c r="C2" s="9" t="s">
        <v>255</v>
      </c>
      <c r="D2" s="9" t="s">
        <v>256</v>
      </c>
      <c r="E2" s="31" t="s">
        <v>257</v>
      </c>
      <c r="F2" s="31" t="s">
        <v>258</v>
      </c>
      <c r="G2" s="31" t="s">
        <v>259</v>
      </c>
      <c r="H2" s="31" t="s">
        <v>260</v>
      </c>
      <c r="I2" s="31" t="s">
        <v>261</v>
      </c>
      <c r="J2" s="31" t="s">
        <v>262</v>
      </c>
      <c r="K2" s="31" t="s">
        <v>263</v>
      </c>
      <c r="L2" s="31" t="s">
        <v>264</v>
      </c>
      <c r="M2" s="31" t="s">
        <v>265</v>
      </c>
      <c r="N2" s="31" t="s">
        <v>266</v>
      </c>
      <c r="O2" s="31" t="s">
        <v>267</v>
      </c>
      <c r="P2" s="31" t="s">
        <v>268</v>
      </c>
    </row>
    <row r="3" customFormat="false" ht="14.25" hidden="false" customHeight="true" outlineLevel="0" collapsed="false">
      <c r="A3" s="5" t="s">
        <v>269</v>
      </c>
      <c r="E3" s="32" t="n">
        <f aca="false">(1+RENT_ESC)^0</f>
        <v>1</v>
      </c>
      <c r="F3" s="32" t="n">
        <f aca="false">(1+RENT_ESC)^1</f>
        <v>1.25</v>
      </c>
      <c r="G3" s="32" t="n">
        <f aca="false">(1+RENT_ESC)^2</f>
        <v>1.5625</v>
      </c>
      <c r="H3" s="32" t="n">
        <f aca="false">(1+RENT_ESC)^3</f>
        <v>1.953125</v>
      </c>
      <c r="I3" s="32" t="n">
        <f aca="false">(1+RENT_ESC)^4</f>
        <v>2.44140625</v>
      </c>
      <c r="J3" s="32" t="n">
        <f aca="false">(1+RENT_ESC)^5</f>
        <v>3.0517578125</v>
      </c>
      <c r="K3" s="32" t="n">
        <f aca="false">(1+RENT_ESC)^6</f>
        <v>3.814697265625</v>
      </c>
      <c r="L3" s="32" t="n">
        <f aca="false">(1+RENT_ESC)^7</f>
        <v>4.76837158203125</v>
      </c>
      <c r="M3" s="32" t="n">
        <f aca="false">(1+RENT_ESC)^8</f>
        <v>5.96046447753906</v>
      </c>
      <c r="N3" s="32" t="n">
        <f aca="false">(1+RENT_ESC)^9</f>
        <v>7.45058059692383</v>
      </c>
      <c r="O3" s="32" t="n">
        <f aca="false">(1+RENT_ESC)^10</f>
        <v>9.31322574615479</v>
      </c>
      <c r="P3" s="32" t="n">
        <f aca="false">(1+RENT_ESC)^11</f>
        <v>11.6415321826935</v>
      </c>
    </row>
    <row r="4" customFormat="false" ht="14.25" hidden="false" customHeight="true" outlineLevel="0" collapsed="false">
      <c r="A4" s="5" t="s">
        <v>270</v>
      </c>
      <c r="E4" s="32" t="n">
        <f aca="false">IF(1=1,OCC_Y1,IF(1=2,OCC_Y2,OCC_STAB))</f>
        <v>0.75</v>
      </c>
      <c r="F4" s="32" t="n">
        <f aca="false">IF(2=1,OCC_Y1,IF(2=2,OCC_Y2,OCC_STAB))</f>
        <v>0.85</v>
      </c>
      <c r="G4" s="32" t="n">
        <f aca="false">IF(3=1,OCC_Y1,IF(3=2,OCC_Y2,OCC_STAB))</f>
        <v>0.95</v>
      </c>
      <c r="H4" s="32" t="n">
        <f aca="false">IF(4=1,OCC_Y1,IF(4=2,OCC_Y2,OCC_STAB))</f>
        <v>0.95</v>
      </c>
      <c r="I4" s="32" t="n">
        <f aca="false">IF(5=1,OCC_Y1,IF(5=2,OCC_Y2,OCC_STAB))</f>
        <v>0.95</v>
      </c>
      <c r="J4" s="32" t="n">
        <f aca="false">IF(6=1,OCC_Y1,IF(6=2,OCC_Y2,OCC_STAB))</f>
        <v>0.95</v>
      </c>
      <c r="K4" s="32" t="n">
        <f aca="false">IF(7=1,OCC_Y1,IF(7=2,OCC_Y2,OCC_STAB))</f>
        <v>0.95</v>
      </c>
      <c r="L4" s="32" t="n">
        <f aca="false">IF(8=1,OCC_Y1,IF(8=2,OCC_Y2,OCC_STAB))</f>
        <v>0.95</v>
      </c>
      <c r="M4" s="32" t="n">
        <f aca="false">IF(9=1,OCC_Y1,IF(9=2,OCC_Y2,OCC_STAB))</f>
        <v>0.95</v>
      </c>
      <c r="N4" s="32" t="n">
        <f aca="false">IF(10=1,OCC_Y1,IF(10=2,OCC_Y2,OCC_STAB))</f>
        <v>0.95</v>
      </c>
      <c r="O4" s="32" t="n">
        <f aca="false">IF(11=1,OCC_Y1,IF(11=2,OCC_Y2,OCC_STAB))</f>
        <v>0.95</v>
      </c>
      <c r="P4" s="32" t="n">
        <f aca="false">IF(12=1,OCC_Y1,IF(12=2,OCC_Y2,OCC_STAB))</f>
        <v>0.95</v>
      </c>
    </row>
    <row r="6" customFormat="false" ht="14.25" hidden="false" customHeight="true" outlineLevel="0" collapsed="false">
      <c r="A6" s="10" t="s">
        <v>271</v>
      </c>
      <c r="B6" s="11"/>
      <c r="C6" s="11"/>
      <c r="D6" s="11"/>
      <c r="E6" s="11"/>
      <c r="F6" s="11"/>
      <c r="G6" s="11"/>
      <c r="H6" s="11"/>
      <c r="I6" s="11"/>
      <c r="J6" s="11"/>
      <c r="K6" s="11"/>
      <c r="L6" s="11"/>
      <c r="M6" s="11"/>
      <c r="N6" s="11"/>
      <c r="O6" s="11"/>
      <c r="P6" s="11"/>
    </row>
    <row r="7" customFormat="false" ht="14.25" hidden="false" customHeight="true" outlineLevel="0" collapsed="false">
      <c r="A7" s="5" t="s">
        <v>272</v>
      </c>
      <c r="B7" s="33" t="n">
        <f aca="false">RETAIL_TOT*(1-SOLD_PCT)</f>
        <v>1040</v>
      </c>
      <c r="C7" s="33" t="n">
        <f aca="false">RENT_RETAIL</f>
        <v>6250</v>
      </c>
      <c r="D7" s="13" t="n">
        <v>0.92</v>
      </c>
      <c r="E7" s="21" t="n">
        <f aca="false">$B7*$C7*12*OCC_MULT*E$4*E$3/(1+VAT_R)</f>
        <v>50869565.2173913</v>
      </c>
      <c r="F7" s="21" t="n">
        <f aca="false">$B7*$C7*12*OCC_MULT*F$4*F$3/(1+VAT_R)</f>
        <v>72065217.3913044</v>
      </c>
      <c r="G7" s="21" t="n">
        <f aca="false">$B7*$C7*12*OCC_MULT*G$4*G$3/(1+VAT_R)</f>
        <v>100679347.826087</v>
      </c>
      <c r="H7" s="21" t="n">
        <f aca="false">$B7*$C7*12*OCC_MULT*H$4*H$3/(1+VAT_R)</f>
        <v>125849184.782609</v>
      </c>
      <c r="I7" s="21" t="n">
        <f aca="false">$B7*$C7*12*OCC_MULT*I$4*I$3/(1+VAT_R)</f>
        <v>157311480.978261</v>
      </c>
      <c r="J7" s="21" t="n">
        <f aca="false">$B7*$C7*12*OCC_MULT*J$4*J$3/(1+VAT_R)</f>
        <v>196639351.222826</v>
      </c>
      <c r="K7" s="21" t="n">
        <f aca="false">$B7*$C7*12*OCC_MULT*K$4*K$3/(1+VAT_R)</f>
        <v>245799189.028533</v>
      </c>
      <c r="L7" s="21" t="n">
        <f aca="false">$B7*$C7*12*OCC_MULT*L$4*L$3/(1+VAT_R)</f>
        <v>307248986.285666</v>
      </c>
      <c r="M7" s="21" t="n">
        <f aca="false">$B7*$C7*12*OCC_MULT*M$4*M$3/(1+VAT_R)</f>
        <v>384061232.857082</v>
      </c>
      <c r="N7" s="21" t="n">
        <f aca="false">$B7*$C7*12*OCC_MULT*N$4*N$3/(1+VAT_R)</f>
        <v>480076541.071353</v>
      </c>
      <c r="O7" s="21" t="n">
        <f aca="false">$B7*$C7*12*OCC_MULT*O$4*O$3/(1+VAT_R)</f>
        <v>600095676.339191</v>
      </c>
      <c r="P7" s="21" t="n">
        <f aca="false">$B7*$C7*12*OCC_MULT*P$4*P$3/(1+VAT_R)</f>
        <v>750119595.423989</v>
      </c>
    </row>
    <row r="8" customFormat="false" ht="14.25" hidden="false" customHeight="true" outlineLevel="0" collapsed="false">
      <c r="A8" s="5" t="s">
        <v>273</v>
      </c>
      <c r="B8" s="12" t="n">
        <v>2220</v>
      </c>
      <c r="C8" s="33" t="n">
        <f aca="false">RENT_WHOLESALE</f>
        <v>4600</v>
      </c>
      <c r="D8" s="13" t="n">
        <v>0.9</v>
      </c>
      <c r="E8" s="21" t="n">
        <f aca="false">$B8*$C8*12*OCC_MULT*E$4*E$3/(1+VAT_R)</f>
        <v>79920000</v>
      </c>
      <c r="F8" s="21" t="n">
        <f aca="false">$B8*$C8*12*OCC_MULT*F$4*F$3/(1+VAT_R)</f>
        <v>113220000</v>
      </c>
      <c r="G8" s="21" t="n">
        <f aca="false">$B8*$C8*12*OCC_MULT*G$4*G$3/(1+VAT_R)</f>
        <v>158175000</v>
      </c>
      <c r="H8" s="21" t="n">
        <f aca="false">$B8*$C8*12*OCC_MULT*H$4*H$3/(1+VAT_R)</f>
        <v>197718750</v>
      </c>
      <c r="I8" s="21" t="n">
        <f aca="false">$B8*$C8*12*OCC_MULT*I$4*I$3/(1+VAT_R)</f>
        <v>247148437.5</v>
      </c>
      <c r="J8" s="21" t="n">
        <f aca="false">$B8*$C8*12*OCC_MULT*J$4*J$3/(1+VAT_R)</f>
        <v>308935546.875</v>
      </c>
      <c r="K8" s="21" t="n">
        <f aca="false">$B8*$C8*12*OCC_MULT*K$4*K$3/(1+VAT_R)</f>
        <v>386169433.59375</v>
      </c>
      <c r="L8" s="21" t="n">
        <f aca="false">$B8*$C8*12*OCC_MULT*L$4*L$3/(1+VAT_R)</f>
        <v>482711791.992188</v>
      </c>
      <c r="M8" s="21" t="n">
        <f aca="false">$B8*$C8*12*OCC_MULT*M$4*M$3/(1+VAT_R)</f>
        <v>603389739.990234</v>
      </c>
      <c r="N8" s="21" t="n">
        <f aca="false">$B8*$C8*12*OCC_MULT*N$4*N$3/(1+VAT_R)</f>
        <v>754237174.987793</v>
      </c>
      <c r="O8" s="21" t="n">
        <f aca="false">$B8*$C8*12*OCC_MULT*O$4*O$3/(1+VAT_R)</f>
        <v>942796468.734741</v>
      </c>
      <c r="P8" s="21" t="n">
        <f aca="false">$B8*$C8*12*OCC_MULT*P$4*P$3/(1+VAT_R)</f>
        <v>1178495585.91843</v>
      </c>
    </row>
    <row r="9" customFormat="false" ht="14.25" hidden="false" customHeight="true" outlineLevel="0" collapsed="false">
      <c r="A9" s="5" t="s">
        <v>274</v>
      </c>
      <c r="B9" s="12" t="n">
        <v>920</v>
      </c>
      <c r="C9" s="12" t="n">
        <v>4480</v>
      </c>
      <c r="D9" s="13" t="n">
        <v>0.9</v>
      </c>
      <c r="E9" s="21" t="n">
        <f aca="false">$B9*$C9*12*OCC_MULT*E$4*E$3/(1+VAT_R)</f>
        <v>32256000</v>
      </c>
      <c r="F9" s="21" t="n">
        <f aca="false">$B9*$C9*12*OCC_MULT*F$4*F$3/(1+VAT_R)</f>
        <v>45696000</v>
      </c>
      <c r="G9" s="21" t="n">
        <f aca="false">$B9*$C9*12*OCC_MULT*G$4*G$3/(1+VAT_R)</f>
        <v>63840000</v>
      </c>
      <c r="H9" s="21" t="n">
        <f aca="false">$B9*$C9*12*OCC_MULT*H$4*H$3/(1+VAT_R)</f>
        <v>79800000</v>
      </c>
      <c r="I9" s="21" t="n">
        <f aca="false">$B9*$C9*12*OCC_MULT*I$4*I$3/(1+VAT_R)</f>
        <v>99750000</v>
      </c>
      <c r="J9" s="21" t="n">
        <f aca="false">$B9*$C9*12*OCC_MULT*J$4*J$3/(1+VAT_R)</f>
        <v>124687500</v>
      </c>
      <c r="K9" s="21" t="n">
        <f aca="false">$B9*$C9*12*OCC_MULT*K$4*K$3/(1+VAT_R)</f>
        <v>155859375</v>
      </c>
      <c r="L9" s="21" t="n">
        <f aca="false">$B9*$C9*12*OCC_MULT*L$4*L$3/(1+VAT_R)</f>
        <v>194824218.75</v>
      </c>
      <c r="M9" s="21" t="n">
        <f aca="false">$B9*$C9*12*OCC_MULT*M$4*M$3/(1+VAT_R)</f>
        <v>243530273.4375</v>
      </c>
      <c r="N9" s="21" t="n">
        <f aca="false">$B9*$C9*12*OCC_MULT*N$4*N$3/(1+VAT_R)</f>
        <v>304412841.796875</v>
      </c>
      <c r="O9" s="21" t="n">
        <f aca="false">$B9*$C9*12*OCC_MULT*O$4*O$3/(1+VAT_R)</f>
        <v>380516052.246094</v>
      </c>
      <c r="P9" s="21" t="n">
        <f aca="false">$B9*$C9*12*OCC_MULT*P$4*P$3/(1+VAT_R)</f>
        <v>475645065.307617</v>
      </c>
    </row>
    <row r="10" customFormat="false" ht="14.25" hidden="false" customHeight="true" outlineLevel="0" collapsed="false">
      <c r="A10" s="5" t="s">
        <v>275</v>
      </c>
      <c r="B10" s="12" t="n">
        <v>5264</v>
      </c>
      <c r="C10" s="33" t="n">
        <f aca="false">RENT_OFFICE</f>
        <v>4600</v>
      </c>
      <c r="D10" s="13" t="n">
        <v>0.85</v>
      </c>
      <c r="E10" s="21" t="n">
        <f aca="false">$B10*$C10*12*OCC_MULT*E$4*E$3/(1+VAT_R)</f>
        <v>189504000</v>
      </c>
      <c r="F10" s="21" t="n">
        <f aca="false">$B10*$C10*12*OCC_MULT*F$4*F$3/(1+VAT_R)</f>
        <v>268464000</v>
      </c>
      <c r="G10" s="21" t="n">
        <f aca="false">$B10*$C10*12*OCC_MULT*G$4*G$3/(1+VAT_R)</f>
        <v>375060000</v>
      </c>
      <c r="H10" s="21" t="n">
        <f aca="false">$B10*$C10*12*OCC_MULT*H$4*H$3/(1+VAT_R)</f>
        <v>468825000</v>
      </c>
      <c r="I10" s="21" t="n">
        <f aca="false">$B10*$C10*12*OCC_MULT*I$4*I$3/(1+VAT_R)</f>
        <v>586031250</v>
      </c>
      <c r="J10" s="21" t="n">
        <f aca="false">$B10*$C10*12*OCC_MULT*J$4*J$3/(1+VAT_R)</f>
        <v>732539062.5</v>
      </c>
      <c r="K10" s="21" t="n">
        <f aca="false">$B10*$C10*12*OCC_MULT*K$4*K$3/(1+VAT_R)</f>
        <v>915673828.125</v>
      </c>
      <c r="L10" s="21" t="n">
        <f aca="false">$B10*$C10*12*OCC_MULT*L$4*L$3/(1+VAT_R)</f>
        <v>1144592285.15625</v>
      </c>
      <c r="M10" s="21" t="n">
        <f aca="false">$B10*$C10*12*OCC_MULT*M$4*M$3/(1+VAT_R)</f>
        <v>1430740356.44531</v>
      </c>
      <c r="N10" s="21" t="n">
        <f aca="false">$B10*$C10*12*OCC_MULT*N$4*N$3/(1+VAT_R)</f>
        <v>1788425445.55664</v>
      </c>
      <c r="O10" s="21" t="n">
        <f aca="false">$B10*$C10*12*OCC_MULT*O$4*O$3/(1+VAT_R)</f>
        <v>2235531806.9458</v>
      </c>
      <c r="P10" s="21" t="n">
        <f aca="false">$B10*$C10*12*OCC_MULT*P$4*P$3/(1+VAT_R)</f>
        <v>2794414758.68225</v>
      </c>
    </row>
    <row r="11" customFormat="false" ht="14.25" hidden="false" customHeight="true" outlineLevel="0" collapsed="false">
      <c r="A11" s="5" t="s">
        <v>276</v>
      </c>
      <c r="B11" s="12" t="n">
        <v>1544</v>
      </c>
      <c r="C11" s="33" t="n">
        <f aca="false">RENT_TRADE</f>
        <v>5625</v>
      </c>
      <c r="D11" s="13" t="n">
        <v>0.85</v>
      </c>
      <c r="E11" s="21" t="n">
        <f aca="false">$B11*$C11*12*OCC_MULT*E$4*E$3/(1+VAT_R)</f>
        <v>67969565.2173913</v>
      </c>
      <c r="F11" s="21" t="n">
        <f aca="false">$B11*$C11*12*OCC_MULT*F$4*F$3/(1+VAT_R)</f>
        <v>96290217.3913044</v>
      </c>
      <c r="G11" s="21" t="n">
        <f aca="false">$B11*$C11*12*OCC_MULT*G$4*G$3/(1+VAT_R)</f>
        <v>134523097.826087</v>
      </c>
      <c r="H11" s="21" t="n">
        <f aca="false">$B11*$C11*12*OCC_MULT*H$4*H$3/(1+VAT_R)</f>
        <v>168153872.282609</v>
      </c>
      <c r="I11" s="21" t="n">
        <f aca="false">$B11*$C11*12*OCC_MULT*I$4*I$3/(1+VAT_R)</f>
        <v>210192340.353261</v>
      </c>
      <c r="J11" s="21" t="n">
        <f aca="false">$B11*$C11*12*OCC_MULT*J$4*J$3/(1+VAT_R)</f>
        <v>262740425.441576</v>
      </c>
      <c r="K11" s="21" t="n">
        <f aca="false">$B11*$C11*12*OCC_MULT*K$4*K$3/(1+VAT_R)</f>
        <v>328425531.80197</v>
      </c>
      <c r="L11" s="21" t="n">
        <f aca="false">$B11*$C11*12*OCC_MULT*L$4*L$3/(1+VAT_R)</f>
        <v>410531914.752463</v>
      </c>
      <c r="M11" s="21" t="n">
        <f aca="false">$B11*$C11*12*OCC_MULT*M$4*M$3/(1+VAT_R)</f>
        <v>513164893.440578</v>
      </c>
      <c r="N11" s="21" t="n">
        <f aca="false">$B11*$C11*12*OCC_MULT*N$4*N$3/(1+VAT_R)</f>
        <v>641456116.800723</v>
      </c>
      <c r="O11" s="21" t="n">
        <f aca="false">$B11*$C11*12*OCC_MULT*O$4*O$3/(1+VAT_R)</f>
        <v>801820146.000904</v>
      </c>
      <c r="P11" s="21" t="n">
        <f aca="false">$B11*$C11*12*OCC_MULT*P$4*P$3/(1+VAT_R)</f>
        <v>1002275182.50113</v>
      </c>
    </row>
    <row r="12" customFormat="false" ht="14.25" hidden="false" customHeight="true" outlineLevel="0" collapsed="false">
      <c r="A12" s="5" t="s">
        <v>277</v>
      </c>
      <c r="B12" s="12" t="n">
        <v>400</v>
      </c>
      <c r="C12" s="12" t="n">
        <v>4000</v>
      </c>
      <c r="D12" s="13" t="n">
        <v>0.85</v>
      </c>
      <c r="E12" s="21" t="n">
        <f aca="false">$B12*$C12*12*OCC_MULT*E$4*E$3/(1+VAT_R)</f>
        <v>12521739.1304348</v>
      </c>
      <c r="F12" s="21" t="n">
        <f aca="false">$B12*$C12*12*OCC_MULT*F$4*F$3/(1+VAT_R)</f>
        <v>17739130.4347826</v>
      </c>
      <c r="G12" s="21" t="n">
        <f aca="false">$B12*$C12*12*OCC_MULT*G$4*G$3/(1+VAT_R)</f>
        <v>24782608.6956522</v>
      </c>
      <c r="H12" s="21" t="n">
        <f aca="false">$B12*$C12*12*OCC_MULT*H$4*H$3/(1+VAT_R)</f>
        <v>30978260.8695652</v>
      </c>
      <c r="I12" s="21" t="n">
        <f aca="false">$B12*$C12*12*OCC_MULT*I$4*I$3/(1+VAT_R)</f>
        <v>38722826.0869565</v>
      </c>
      <c r="J12" s="21" t="n">
        <f aca="false">$B12*$C12*12*OCC_MULT*J$4*J$3/(1+VAT_R)</f>
        <v>48403532.6086957</v>
      </c>
      <c r="K12" s="21" t="n">
        <f aca="false">$B12*$C12*12*OCC_MULT*K$4*K$3/(1+VAT_R)</f>
        <v>60504415.7608696</v>
      </c>
      <c r="L12" s="21" t="n">
        <f aca="false">$B12*$C12*12*OCC_MULT*L$4*L$3/(1+VAT_R)</f>
        <v>75630519.701087</v>
      </c>
      <c r="M12" s="21" t="n">
        <f aca="false">$B12*$C12*12*OCC_MULT*M$4*M$3/(1+VAT_R)</f>
        <v>94538149.6263587</v>
      </c>
      <c r="N12" s="21" t="n">
        <f aca="false">$B12*$C12*12*OCC_MULT*N$4*N$3/(1+VAT_R)</f>
        <v>118172687.032948</v>
      </c>
      <c r="O12" s="21" t="n">
        <f aca="false">$B12*$C12*12*OCC_MULT*O$4*O$3/(1+VAT_R)</f>
        <v>147715858.791185</v>
      </c>
      <c r="P12" s="21" t="n">
        <f aca="false">$B12*$C12*12*OCC_MULT*P$4*P$3/(1+VAT_R)</f>
        <v>184644823.488982</v>
      </c>
    </row>
    <row r="13" customFormat="false" ht="14.25" hidden="false" customHeight="true" outlineLevel="0" collapsed="false">
      <c r="A13" s="5" t="s">
        <v>278</v>
      </c>
      <c r="B13" s="33" t="n">
        <f aca="false">WAREHOUSE_M2</f>
        <v>6000</v>
      </c>
      <c r="C13" s="33" t="n">
        <f aca="false">WAREHOUSE_RENT</f>
        <v>3500</v>
      </c>
      <c r="D13" s="13" t="n">
        <v>0.9</v>
      </c>
      <c r="E13" s="21" t="n">
        <f aca="false">$B13*$C13*12*OCC_MULT*E$4*E$3/(1+VAT_R)</f>
        <v>164347826.086957</v>
      </c>
      <c r="F13" s="21" t="n">
        <f aca="false">$B13*$C13*12*OCC_MULT*F$4*F$3/(1+VAT_R)</f>
        <v>232826086.956522</v>
      </c>
      <c r="G13" s="21" t="n">
        <f aca="false">$B13*$C13*12*OCC_MULT*G$4*G$3/(1+VAT_R)</f>
        <v>325271739.130435</v>
      </c>
      <c r="H13" s="21" t="n">
        <f aca="false">$B13*$C13*12*OCC_MULT*H$4*H$3/(1+VAT_R)</f>
        <v>406589673.913044</v>
      </c>
      <c r="I13" s="21" t="n">
        <f aca="false">$B13*$C13*12*OCC_MULT*I$4*I$3/(1+VAT_R)</f>
        <v>508237092.391304</v>
      </c>
      <c r="J13" s="21" t="n">
        <f aca="false">$B13*$C13*12*OCC_MULT*J$4*J$3/(1+VAT_R)</f>
        <v>635296365.489131</v>
      </c>
      <c r="K13" s="21" t="n">
        <f aca="false">$B13*$C13*12*OCC_MULT*K$4*K$3/(1+VAT_R)</f>
        <v>794120456.861413</v>
      </c>
      <c r="L13" s="21" t="n">
        <f aca="false">$B13*$C13*12*OCC_MULT*L$4*L$3/(1+VAT_R)</f>
        <v>992650571.076766</v>
      </c>
      <c r="M13" s="21" t="n">
        <f aca="false">$B13*$C13*12*OCC_MULT*M$4*M$3/(1+VAT_R)</f>
        <v>1240813213.84596</v>
      </c>
      <c r="N13" s="21" t="n">
        <f aca="false">$B13*$C13*12*OCC_MULT*N$4*N$3/(1+VAT_R)</f>
        <v>1551016517.30745</v>
      </c>
      <c r="O13" s="21" t="n">
        <f aca="false">$B13*$C13*12*OCC_MULT*O$4*O$3/(1+VAT_R)</f>
        <v>1938770646.63431</v>
      </c>
      <c r="P13" s="21" t="n">
        <f aca="false">$B13*$C13*12*OCC_MULT*P$4*P$3/(1+VAT_R)</f>
        <v>2423463308.29289</v>
      </c>
    </row>
    <row r="14" customFormat="false" ht="14.25" hidden="false" customHeight="true" outlineLevel="0" collapsed="false">
      <c r="A14" s="4" t="s">
        <v>279</v>
      </c>
      <c r="B14" s="34" t="n">
        <f aca="false">SUM(B7:B13)</f>
        <v>17388</v>
      </c>
      <c r="E14" s="22" t="n">
        <f aca="false">SUM(E7:E13)</f>
        <v>597388695.652174</v>
      </c>
      <c r="F14" s="22" t="n">
        <f aca="false">SUM(F7:F13)</f>
        <v>846300652.173913</v>
      </c>
      <c r="G14" s="22" t="n">
        <f aca="false">SUM(G7:G13)</f>
        <v>1182331793.47826</v>
      </c>
      <c r="H14" s="22" t="n">
        <f aca="false">SUM(H7:H13)</f>
        <v>1477914741.84783</v>
      </c>
      <c r="I14" s="22" t="n">
        <f aca="false">SUM(I7:I13)</f>
        <v>1847393427.30978</v>
      </c>
      <c r="J14" s="22" t="n">
        <f aca="false">SUM(J7:J13)</f>
        <v>2309241784.13723</v>
      </c>
      <c r="K14" s="22" t="n">
        <f aca="false">SUM(K7:K13)</f>
        <v>2886552230.17154</v>
      </c>
      <c r="L14" s="22" t="n">
        <f aca="false">SUM(L7:L13)</f>
        <v>3608190287.71442</v>
      </c>
      <c r="M14" s="22" t="n">
        <f aca="false">SUM(M7:M13)</f>
        <v>4510237859.64302</v>
      </c>
      <c r="N14" s="22" t="n">
        <f aca="false">SUM(N7:N13)</f>
        <v>5637797324.55378</v>
      </c>
      <c r="O14" s="22" t="n">
        <f aca="false">SUM(O7:O13)</f>
        <v>7047246655.69222</v>
      </c>
      <c r="P14" s="22" t="n">
        <f aca="false">SUM(P7:P13)</f>
        <v>8809058319.61528</v>
      </c>
    </row>
    <row r="15" customFormat="false" ht="14.25" hidden="false" customHeight="true" outlineLevel="0" collapsed="false">
      <c r="A15" s="35" t="s">
        <v>280</v>
      </c>
      <c r="B15" s="21" t="n">
        <f aca="false">SUMPRODUCT(B7:B13,C7:C13)*12*OCC_STAB*OCC_MULT/(1+VAT_R)</f>
        <v>756692347.826087</v>
      </c>
    </row>
    <row r="17" customFormat="false" ht="14.25" hidden="false" customHeight="true" outlineLevel="0" collapsed="false">
      <c r="A17" s="10" t="s">
        <v>281</v>
      </c>
      <c r="B17" s="11"/>
      <c r="C17" s="11"/>
      <c r="D17" s="11"/>
      <c r="E17" s="11"/>
      <c r="F17" s="11"/>
      <c r="G17" s="11"/>
      <c r="H17" s="11"/>
      <c r="I17" s="11"/>
      <c r="J17" s="11"/>
      <c r="K17" s="11"/>
      <c r="L17" s="11"/>
      <c r="M17" s="11"/>
      <c r="N17" s="11"/>
      <c r="O17" s="11"/>
      <c r="P17" s="11"/>
    </row>
    <row r="18" customFormat="false" ht="14.25" hidden="false" customHeight="true" outlineLevel="0" collapsed="false">
      <c r="A18" s="5" t="s">
        <v>282</v>
      </c>
      <c r="B18" s="24" t="n">
        <f aca="false">RETAIL_TOT*(1-SOLD_PCT)*KEY_MONEY</f>
        <v>0</v>
      </c>
      <c r="E18" s="21" t="n">
        <f aca="false">IF(1&lt;=10,$B18/10,0)/(1+VAT_R)</f>
        <v>0</v>
      </c>
      <c r="F18" s="21" t="n">
        <f aca="false">IF(2&lt;=10,$B18/10,0)/(1+VAT_R)</f>
        <v>0</v>
      </c>
      <c r="G18" s="21" t="n">
        <f aca="false">IF(3&lt;=10,$B18/10,0)/(1+VAT_R)</f>
        <v>0</v>
      </c>
      <c r="H18" s="21" t="n">
        <f aca="false">IF(4&lt;=10,$B18/10,0)/(1+VAT_R)</f>
        <v>0</v>
      </c>
      <c r="I18" s="21" t="n">
        <f aca="false">IF(5&lt;=10,$B18/10,0)/(1+VAT_R)</f>
        <v>0</v>
      </c>
      <c r="J18" s="21" t="n">
        <f aca="false">IF(6&lt;=10,$B18/10,0)/(1+VAT_R)</f>
        <v>0</v>
      </c>
      <c r="K18" s="21" t="n">
        <f aca="false">IF(7&lt;=10,$B18/10,0)/(1+VAT_R)</f>
        <v>0</v>
      </c>
      <c r="L18" s="21" t="n">
        <f aca="false">IF(8&lt;=10,$B18/10,0)/(1+VAT_R)</f>
        <v>0</v>
      </c>
      <c r="M18" s="21" t="n">
        <f aca="false">IF(9&lt;=10,$B18/10,0)/(1+VAT_R)</f>
        <v>0</v>
      </c>
      <c r="N18" s="21" t="n">
        <f aca="false">IF(10&lt;=10,$B18/10,0)/(1+VAT_R)</f>
        <v>0</v>
      </c>
      <c r="O18" s="21" t="n">
        <f aca="false">IF(11&lt;=10,$B18/10,0)/(1+VAT_R)</f>
        <v>0</v>
      </c>
      <c r="P18" s="21" t="n">
        <f aca="false">IF(12&lt;=10,$B18/10,0)/(1+VAT_R)</f>
        <v>0</v>
      </c>
    </row>
    <row r="19" customFormat="false" ht="14.25" hidden="false" customHeight="true" outlineLevel="0" collapsed="false">
      <c r="A19" s="5" t="s">
        <v>283</v>
      </c>
      <c r="B19" s="33" t="n">
        <f aca="false">RETAIL_TOT*SOLD_PCT</f>
        <v>3120</v>
      </c>
      <c r="C19" s="33" t="n">
        <f aca="false">SALE_PRICE</f>
        <v>540000</v>
      </c>
      <c r="E19" s="21" t="n">
        <f aca="false">IF(1=1,$B19*$C19,0)/(1+VAT_R)</f>
        <v>1465043478.26087</v>
      </c>
      <c r="F19" s="21" t="n">
        <f aca="false">IF(2=1,$B19*$C19,0)/(1+VAT_R)</f>
        <v>0</v>
      </c>
      <c r="G19" s="21" t="n">
        <f aca="false">IF(3=1,$B19*$C19,0)/(1+VAT_R)</f>
        <v>0</v>
      </c>
      <c r="H19" s="21" t="n">
        <f aca="false">IF(4=1,$B19*$C19,0)/(1+VAT_R)</f>
        <v>0</v>
      </c>
      <c r="I19" s="21" t="n">
        <f aca="false">IF(5=1,$B19*$C19,0)/(1+VAT_R)</f>
        <v>0</v>
      </c>
      <c r="J19" s="21" t="n">
        <f aca="false">IF(6=1,$B19*$C19,0)/(1+VAT_R)</f>
        <v>0</v>
      </c>
      <c r="K19" s="21" t="n">
        <f aca="false">IF(7=1,$B19*$C19,0)/(1+VAT_R)</f>
        <v>0</v>
      </c>
      <c r="L19" s="21" t="n">
        <f aca="false">IF(8=1,$B19*$C19,0)/(1+VAT_R)</f>
        <v>0</v>
      </c>
      <c r="M19" s="21" t="n">
        <f aca="false">IF(9=1,$B19*$C19,0)/(1+VAT_R)</f>
        <v>0</v>
      </c>
      <c r="N19" s="21" t="n">
        <f aca="false">IF(10=1,$B19*$C19,0)/(1+VAT_R)</f>
        <v>0</v>
      </c>
      <c r="O19" s="21" t="n">
        <f aca="false">IF(11=1,$B19*$C19,0)/(1+VAT_R)</f>
        <v>0</v>
      </c>
      <c r="P19" s="21" t="n">
        <f aca="false">IF(12=1,$B19*$C19,0)/(1+VAT_R)</f>
        <v>0</v>
      </c>
    </row>
    <row r="20" customFormat="false" ht="14.25" hidden="false" customHeight="true" outlineLevel="0" collapsed="false">
      <c r="A20" s="36" t="s">
        <v>284</v>
      </c>
      <c r="B20" s="33" t="n">
        <f aca="false">HOTEL_KEYS</f>
        <v>38</v>
      </c>
      <c r="C20" s="33" t="n">
        <f aca="false">ADR</f>
        <v>12800</v>
      </c>
      <c r="E20" s="37" t="n">
        <f aca="false">$B20*$C20*(1+ADR_G)^0*IF(1=1,HOCC1,IF(1=2,HOCC2,HOCC3))*365*(1+FB_UPLIFT)</f>
        <v>159782400</v>
      </c>
      <c r="F20" s="37" t="n">
        <f aca="false">$B20*$C20*(1+ADR_G)^1*IF(2=1,HOCC1,IF(2=2,HOCC2,HOCC3))*365*(1+FB_UPLIFT)</f>
        <v>199461696</v>
      </c>
      <c r="G20" s="37" t="n">
        <f aca="false">$B20*$C20*(1+ADR_G)^2*IF(3=1,HOCC1,IF(3=2,HOCC2,HOCC3))*365*(1+FB_UPLIFT)</f>
        <v>243913159.68</v>
      </c>
      <c r="H20" s="37" t="n">
        <f aca="false">$B20*$C20*(1+ADR_G)^3*IF(4=1,HOCC1,IF(4=2,HOCC2,HOCC3))*365*(1+FB_UPLIFT)</f>
        <v>260987080.8576</v>
      </c>
      <c r="I20" s="37" t="n">
        <f aca="false">$B20*$C20*(1+ADR_G)^4*IF(5=1,HOCC1,IF(5=2,HOCC2,HOCC3))*365*(1+FB_UPLIFT)</f>
        <v>279256176.517632</v>
      </c>
      <c r="J20" s="37" t="n">
        <f aca="false">$B20*$C20*(1+ADR_G)^5*IF(6=1,HOCC1,IF(6=2,HOCC2,HOCC3))*365*(1+FB_UPLIFT)</f>
        <v>298804108.873866</v>
      </c>
      <c r="K20" s="37" t="n">
        <f aca="false">$B20*$C20*(1+ADR_G)^6*IF(7=1,HOCC1,IF(7=2,HOCC2,HOCC3))*365*(1+FB_UPLIFT)</f>
        <v>319720396.495037</v>
      </c>
      <c r="L20" s="37" t="n">
        <f aca="false">$B20*$C20*(1+ADR_G)^7*IF(8=1,HOCC1,IF(8=2,HOCC2,HOCC3))*365*(1+FB_UPLIFT)</f>
        <v>342100824.24969</v>
      </c>
      <c r="M20" s="37" t="n">
        <f aca="false">$B20*$C20*(1+ADR_G)^8*IF(9=1,HOCC1,IF(9=2,HOCC2,HOCC3))*365*(1+FB_UPLIFT)</f>
        <v>366047881.947168</v>
      </c>
      <c r="N20" s="37" t="n">
        <f aca="false">$B20*$C20*(1+ADR_G)^9*IF(10=1,HOCC1,IF(10=2,HOCC2,HOCC3))*365*(1+FB_UPLIFT)</f>
        <v>391671233.68347</v>
      </c>
      <c r="O20" s="37" t="n">
        <f aca="false">$B20*$C20*(1+ADR_G)^10*IF(11=1,HOCC1,IF(11=2,HOCC2,HOCC3))*365*(1+FB_UPLIFT)</f>
        <v>419088220.041313</v>
      </c>
      <c r="P20" s="37" t="n">
        <f aca="false">$B20*$C20*(1+ADR_G)^11*IF(12=1,HOCC1,IF(12=2,HOCC2,HOCC3))*365*(1+FB_UPLIFT)</f>
        <v>448424395.444205</v>
      </c>
    </row>
    <row r="21" customFormat="false" ht="14.25" hidden="false" customHeight="true" outlineLevel="0" collapsed="false">
      <c r="A21" s="5" t="s">
        <v>285</v>
      </c>
      <c r="D21" s="38" t="n">
        <f aca="false">TURNOVER</f>
        <v>0.25</v>
      </c>
      <c r="E21" s="21" t="n">
        <f aca="false">E20*$D21/(1+VAT_R)</f>
        <v>34735304.3478261</v>
      </c>
      <c r="F21" s="21" t="n">
        <f aca="false">F20*$D21/(1+VAT_R)</f>
        <v>43361238.2608696</v>
      </c>
      <c r="G21" s="21" t="n">
        <f aca="false">G20*$D21/(1+VAT_R)</f>
        <v>53024599.9304348</v>
      </c>
      <c r="H21" s="21" t="n">
        <f aca="false">H20*$D21/(1+VAT_R)</f>
        <v>56736321.9255652</v>
      </c>
      <c r="I21" s="21" t="n">
        <f aca="false">I20*$D21/(1+VAT_R)</f>
        <v>60707864.4603548</v>
      </c>
      <c r="J21" s="21" t="n">
        <f aca="false">J20*$D21/(1+VAT_R)</f>
        <v>64957414.9725797</v>
      </c>
      <c r="K21" s="21" t="n">
        <f aca="false">K20*$D21/(1+VAT_R)</f>
        <v>69504434.0206602</v>
      </c>
      <c r="L21" s="21" t="n">
        <f aca="false">L20*$D21/(1+VAT_R)</f>
        <v>74369744.4021064</v>
      </c>
      <c r="M21" s="21" t="n">
        <f aca="false">M20*$D21/(1+VAT_R)</f>
        <v>79575626.5102539</v>
      </c>
      <c r="N21" s="21" t="n">
        <f aca="false">N20*$D21/(1+VAT_R)</f>
        <v>85145920.3659717</v>
      </c>
      <c r="O21" s="21" t="n">
        <f aca="false">O20*$D21/(1+VAT_R)</f>
        <v>91106134.7915897</v>
      </c>
      <c r="P21" s="21" t="n">
        <f aca="false">P20*$D21/(1+VAT_R)</f>
        <v>97483564.227001</v>
      </c>
    </row>
    <row r="22" customFormat="false" ht="14.25" hidden="false" customHeight="true" outlineLevel="0" collapsed="false">
      <c r="A22" s="5" t="s">
        <v>286</v>
      </c>
      <c r="B22" s="24" t="n">
        <f aca="false">OTH_EVENTS+OTH_PARKING+OTH_VEND+OTH_SVC</f>
        <v>276000000</v>
      </c>
      <c r="E22" s="21" t="n">
        <f aca="false">$B22*E$3/(1+VAT_R)</f>
        <v>240000000</v>
      </c>
      <c r="F22" s="21" t="n">
        <f aca="false">$B22*F$3/(1+VAT_R)</f>
        <v>300000000</v>
      </c>
      <c r="G22" s="21" t="n">
        <f aca="false">$B22*G$3/(1+VAT_R)</f>
        <v>375000000</v>
      </c>
      <c r="H22" s="21" t="n">
        <f aca="false">$B22*H$3/(1+VAT_R)</f>
        <v>468750000</v>
      </c>
      <c r="I22" s="21" t="n">
        <f aca="false">$B22*I$3/(1+VAT_R)</f>
        <v>585937500</v>
      </c>
      <c r="J22" s="21" t="n">
        <f aca="false">$B22*J$3/(1+VAT_R)</f>
        <v>732421875</v>
      </c>
      <c r="K22" s="21" t="n">
        <f aca="false">$B22*K$3/(1+VAT_R)</f>
        <v>915527343.75</v>
      </c>
      <c r="L22" s="21" t="n">
        <f aca="false">$B22*L$3/(1+VAT_R)</f>
        <v>1144409179.6875</v>
      </c>
      <c r="M22" s="21" t="n">
        <f aca="false">$B22*M$3/(1+VAT_R)</f>
        <v>1430511474.60938</v>
      </c>
      <c r="N22" s="21" t="n">
        <f aca="false">$B22*N$3/(1+VAT_R)</f>
        <v>1788139343.26172</v>
      </c>
      <c r="O22" s="21" t="n">
        <f aca="false">$B22*O$3/(1+VAT_R)</f>
        <v>2235174179.07715</v>
      </c>
      <c r="P22" s="21" t="n">
        <f aca="false">$B22*P$3/(1+VAT_R)</f>
        <v>2793967723.84644</v>
      </c>
    </row>
    <row r="24" customFormat="false" ht="14.25" hidden="false" customHeight="true" outlineLevel="0" collapsed="false">
      <c r="A24" s="4" t="s">
        <v>287</v>
      </c>
      <c r="E24" s="28" t="n">
        <f aca="false">E14+E18+E19+E21+E22</f>
        <v>2337167478.26087</v>
      </c>
      <c r="F24" s="28" t="n">
        <f aca="false">F14+F18+F19+F21+F22</f>
        <v>1189661890.43478</v>
      </c>
      <c r="G24" s="28" t="n">
        <f aca="false">G14+G18+G19+G21+G22</f>
        <v>1610356393.4087</v>
      </c>
      <c r="H24" s="28" t="n">
        <f aca="false">H14+H18+H19+H21+H22</f>
        <v>2003401063.77339</v>
      </c>
      <c r="I24" s="28" t="n">
        <f aca="false">I14+I18+I19+I21+I22</f>
        <v>2494038791.77014</v>
      </c>
      <c r="J24" s="28" t="n">
        <f aca="false">J14+J18+J19+J21+J22</f>
        <v>3106621074.10981</v>
      </c>
      <c r="K24" s="28" t="n">
        <f aca="false">K14+K18+K19+K21+K22</f>
        <v>3871584007.9422</v>
      </c>
      <c r="L24" s="28" t="n">
        <f aca="false">L14+L18+L19+L21+L22</f>
        <v>4826969211.80403</v>
      </c>
      <c r="M24" s="28" t="n">
        <f aca="false">M14+M18+M19+M21+M22</f>
        <v>6020324960.76265</v>
      </c>
      <c r="N24" s="28" t="n">
        <f aca="false">N14+N18+N19+N21+N22</f>
        <v>7511082588.18147</v>
      </c>
      <c r="O24" s="28" t="n">
        <f aca="false">O14+O18+O19+O21+O22</f>
        <v>9373526969.56096</v>
      </c>
      <c r="P24" s="28" t="n">
        <f aca="false">P14+P18+P19+P21+P22</f>
        <v>11700509607.6887</v>
      </c>
    </row>
    <row r="25" customFormat="false" ht="14.25" hidden="false" customHeight="true" outlineLevel="0" collapsed="false">
      <c r="A25" s="35"/>
      <c r="E25" s="21" t="n">
        <f aca="false">E24*VAT_R</f>
        <v>350575121.73913</v>
      </c>
      <c r="F25" s="21" t="n">
        <f aca="false">F24*VAT_R</f>
        <v>178449283.565217</v>
      </c>
      <c r="G25" s="21" t="n">
        <f aca="false">G24*VAT_R</f>
        <v>241553459.011304</v>
      </c>
      <c r="H25" s="21" t="n">
        <f aca="false">H24*VAT_R</f>
        <v>300510159.566009</v>
      </c>
      <c r="I25" s="21" t="n">
        <f aca="false">I24*VAT_R</f>
        <v>374105818.765521</v>
      </c>
      <c r="J25" s="21" t="n">
        <f aca="false">J24*VAT_R</f>
        <v>465993161.116471</v>
      </c>
      <c r="K25" s="21" t="n">
        <f aca="false">K24*VAT_R</f>
        <v>580737601.191329</v>
      </c>
      <c r="L25" s="21" t="n">
        <f aca="false">L24*VAT_R</f>
        <v>724045381.770604</v>
      </c>
      <c r="M25" s="21" t="n">
        <f aca="false">M24*VAT_R</f>
        <v>903048744.114398</v>
      </c>
      <c r="N25" s="21" t="n">
        <f aca="false">N24*VAT_R</f>
        <v>1126662388.22722</v>
      </c>
      <c r="O25" s="21" t="n">
        <f aca="false">O24*VAT_R</f>
        <v>1406029045.43414</v>
      </c>
      <c r="P25" s="21" t="n">
        <f aca="false">P24*VAT_R</f>
        <v>1755076441.15331</v>
      </c>
    </row>
    <row r="27" customFormat="false" ht="14.25" hidden="false" customHeight="true" outlineLevel="0" collapsed="false">
      <c r="A27" s="23"/>
    </row>
    <row r="28" customFormat="false" ht="14.25" hidden="false" customHeight="true" outlineLevel="0" collapsed="false">
      <c r="A28" s="23"/>
    </row>
    <row r="29" customFormat="false" ht="14.25" hidden="false" customHeight="true" outlineLevel="0" collapsed="false">
      <c r="A29" s="23"/>
    </row>
    <row r="30" customFormat="false" ht="14.25" hidden="false" customHeight="true" outlineLevel="0" collapsed="false">
      <c r="A30" s="23"/>
    </row>
    <row r="31" customFormat="false" ht="14.25" hidden="false" customHeight="true" outlineLevel="0" collapsed="false">
      <c r="A31"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7" activeCellId="0" sqref="E7"/>
    </sheetView>
  </sheetViews>
  <sheetFormatPr defaultColWidth="8.6796875" defaultRowHeight="14.25" zeroHeight="false" outlineLevelRow="0" outlineLevelCol="0"/>
  <cols>
    <col collapsed="false" customWidth="true" hidden="false" outlineLevel="0" max="1" min="1" style="1" width="42"/>
    <col collapsed="false" customWidth="true" hidden="false" outlineLevel="0" max="4" min="2" style="1" width="13"/>
    <col collapsed="false" customWidth="true" hidden="false" outlineLevel="0" max="12" min="5" style="1" width="9.91"/>
    <col collapsed="false" customWidth="true" hidden="false" outlineLevel="0" max="16" min="13" style="1" width="11.27"/>
  </cols>
  <sheetData>
    <row r="1" customFormat="false" ht="18" hidden="false" customHeight="true" outlineLevel="0" collapsed="false">
      <c r="A1" s="8" t="s">
        <v>288</v>
      </c>
    </row>
    <row r="3" customFormat="false" ht="14.25" hidden="false" customHeight="true" outlineLevel="0" collapsed="false">
      <c r="A3" s="4" t="s">
        <v>253</v>
      </c>
      <c r="B3" s="9" t="s">
        <v>289</v>
      </c>
      <c r="C3" s="9" t="s">
        <v>290</v>
      </c>
      <c r="E3" s="31" t="s">
        <v>257</v>
      </c>
      <c r="F3" s="31" t="s">
        <v>258</v>
      </c>
      <c r="G3" s="31" t="s">
        <v>259</v>
      </c>
      <c r="H3" s="31" t="s">
        <v>260</v>
      </c>
      <c r="I3" s="31" t="s">
        <v>261</v>
      </c>
      <c r="J3" s="31" t="s">
        <v>262</v>
      </c>
      <c r="K3" s="31" t="s">
        <v>263</v>
      </c>
      <c r="L3" s="31" t="s">
        <v>264</v>
      </c>
      <c r="M3" s="31" t="s">
        <v>265</v>
      </c>
      <c r="N3" s="31" t="s">
        <v>266</v>
      </c>
      <c r="O3" s="31" t="s">
        <v>267</v>
      </c>
      <c r="P3" s="31" t="s">
        <v>268</v>
      </c>
    </row>
    <row r="4" customFormat="false" ht="14.25" hidden="false" customHeight="true" outlineLevel="0" collapsed="false">
      <c r="A4" s="5" t="s">
        <v>291</v>
      </c>
      <c r="E4" s="32" t="n">
        <f aca="false">(1+OPEX_ESC)^0</f>
        <v>1</v>
      </c>
      <c r="F4" s="32" t="n">
        <f aca="false">(1+OPEX_ESC)^1</f>
        <v>1.05</v>
      </c>
      <c r="G4" s="32" t="n">
        <f aca="false">(1+OPEX_ESC)^2</f>
        <v>1.1025</v>
      </c>
      <c r="H4" s="32" t="n">
        <f aca="false">(1+OPEX_ESC)^3</f>
        <v>1.157625</v>
      </c>
      <c r="I4" s="32" t="n">
        <f aca="false">(1+OPEX_ESC)^4</f>
        <v>1.21550625</v>
      </c>
      <c r="J4" s="32" t="n">
        <f aca="false">(1+OPEX_ESC)^5</f>
        <v>1.2762815625</v>
      </c>
      <c r="K4" s="32" t="n">
        <f aca="false">(1+OPEX_ESC)^6</f>
        <v>1.340095640625</v>
      </c>
      <c r="L4" s="32" t="n">
        <f aca="false">(1+OPEX_ESC)^7</f>
        <v>1.40710042265625</v>
      </c>
      <c r="M4" s="32" t="n">
        <f aca="false">(1+OPEX_ESC)^8</f>
        <v>1.47745544378906</v>
      </c>
      <c r="N4" s="32" t="n">
        <f aca="false">(1+OPEX_ESC)^9</f>
        <v>1.55132821597852</v>
      </c>
      <c r="O4" s="32" t="n">
        <f aca="false">(1+OPEX_ESC)^10</f>
        <v>1.62889462677744</v>
      </c>
      <c r="P4" s="32" t="n">
        <f aca="false">(1+OPEX_ESC)^11</f>
        <v>1.71033935811631</v>
      </c>
    </row>
    <row r="6" customFormat="false" ht="14.25" hidden="false" customHeight="true" outlineLevel="0" collapsed="false">
      <c r="A6" s="10" t="s">
        <v>292</v>
      </c>
      <c r="B6" s="11"/>
      <c r="C6" s="11"/>
      <c r="D6" s="11"/>
      <c r="E6" s="11"/>
      <c r="F6" s="11"/>
      <c r="G6" s="11"/>
      <c r="H6" s="11"/>
      <c r="I6" s="11"/>
      <c r="J6" s="11"/>
      <c r="K6" s="11"/>
      <c r="L6" s="11"/>
      <c r="M6" s="11"/>
      <c r="N6" s="11"/>
      <c r="O6" s="11"/>
      <c r="P6" s="11"/>
    </row>
    <row r="7" customFormat="false" ht="14.25" hidden="false" customHeight="true" outlineLevel="0" collapsed="false">
      <c r="A7" s="1" t="s">
        <v>293</v>
      </c>
      <c r="B7" s="38" t="n">
        <f aca="false">PROP_OPEX</f>
        <v>0.25</v>
      </c>
      <c r="C7" s="26" t="s">
        <v>294</v>
      </c>
      <c r="E7" s="21" t="n">
        <f aca="false">$B7*STAB_RENT*E$4/(1+VAT_R)</f>
        <v>164498336.483932</v>
      </c>
      <c r="F7" s="21" t="n">
        <f aca="false">$B7*STAB_RENT*F$4/(1+VAT_R)</f>
        <v>172723253.308129</v>
      </c>
      <c r="G7" s="21" t="n">
        <f aca="false">$B7*STAB_RENT*G$4/(1+VAT_R)</f>
        <v>181359415.973535</v>
      </c>
      <c r="H7" s="21" t="n">
        <f aca="false">$B7*STAB_RENT*H$4/(1+VAT_R)</f>
        <v>190427386.772212</v>
      </c>
      <c r="I7" s="21" t="n">
        <f aca="false">$B7*STAB_RENT*I$4/(1+VAT_R)</f>
        <v>199948756.110822</v>
      </c>
      <c r="J7" s="21" t="n">
        <f aca="false">$B7*STAB_RENT*J$4/(1+VAT_R)</f>
        <v>209946193.916364</v>
      </c>
      <c r="K7" s="21" t="n">
        <f aca="false">$B7*STAB_RENT*K$4/(1+VAT_R)</f>
        <v>220443503.612182</v>
      </c>
      <c r="L7" s="21" t="n">
        <f aca="false">$B7*STAB_RENT*L$4/(1+VAT_R)</f>
        <v>231465678.792791</v>
      </c>
      <c r="M7" s="21" t="n">
        <f aca="false">$B7*STAB_RENT*M$4/(1+VAT_R)</f>
        <v>243038962.73243</v>
      </c>
      <c r="N7" s="21" t="n">
        <f aca="false">$B7*STAB_RENT*N$4/(1+VAT_R)</f>
        <v>255190910.869052</v>
      </c>
      <c r="O7" s="21" t="n">
        <f aca="false">$B7*STAB_RENT*O$4/(1+VAT_R)</f>
        <v>267950456.412504</v>
      </c>
      <c r="P7" s="21" t="n">
        <f aca="false">$B7*STAB_RENT*P$4/(1+VAT_R)</f>
        <v>281347979.23313</v>
      </c>
    </row>
    <row r="8" customFormat="false" ht="14.25" hidden="false" customHeight="true" outlineLevel="0" collapsed="false">
      <c r="A8" s="1" t="s">
        <v>295</v>
      </c>
      <c r="B8" s="38" t="n">
        <f aca="false">MGMT_FEE</f>
        <v>0.04</v>
      </c>
      <c r="C8" s="26" t="s">
        <v>296</v>
      </c>
      <c r="E8" s="24" t="n">
        <f aca="false">$B8*Revenue!E24</f>
        <v>93486699.1304348</v>
      </c>
      <c r="F8" s="24" t="n">
        <f aca="false">$B8*Revenue!F24</f>
        <v>47586475.6173913</v>
      </c>
      <c r="G8" s="24" t="n">
        <f aca="false">$B8*Revenue!G24</f>
        <v>64414255.7363478</v>
      </c>
      <c r="H8" s="24" t="n">
        <f aca="false">$B8*Revenue!H24</f>
        <v>80136042.5509357</v>
      </c>
      <c r="I8" s="24" t="n">
        <f aca="false">$B8*Revenue!I24</f>
        <v>99761551.6708055</v>
      </c>
      <c r="J8" s="24" t="n">
        <f aca="false">$B8*Revenue!J24</f>
        <v>124264842.964392</v>
      </c>
      <c r="K8" s="24" t="n">
        <f aca="false">$B8*Revenue!K24</f>
        <v>154863360.317688</v>
      </c>
      <c r="L8" s="24" t="n">
        <f aca="false">$B8*Revenue!L24</f>
        <v>193078768.472161</v>
      </c>
      <c r="M8" s="24" t="n">
        <f aca="false">$B8*Revenue!M24</f>
        <v>240812998.430506</v>
      </c>
      <c r="N8" s="24" t="n">
        <f aca="false">$B8*Revenue!N24</f>
        <v>300443303.527259</v>
      </c>
      <c r="O8" s="24" t="n">
        <f aca="false">$B8*Revenue!O24</f>
        <v>374941078.782439</v>
      </c>
      <c r="P8" s="24" t="n">
        <f aca="false">$B8*Revenue!P24</f>
        <v>468020384.307549</v>
      </c>
    </row>
    <row r="9" customFormat="false" ht="14.25" hidden="false" customHeight="true" outlineLevel="0" collapsed="false">
      <c r="A9" s="1" t="s">
        <v>297</v>
      </c>
      <c r="B9" s="38" t="n">
        <f aca="false">BAD_DEBT</f>
        <v>0.02</v>
      </c>
      <c r="C9" s="26" t="s">
        <v>298</v>
      </c>
      <c r="E9" s="24" t="n">
        <f aca="false">$B9*Revenue!E14</f>
        <v>11947773.9130435</v>
      </c>
      <c r="F9" s="24" t="n">
        <f aca="false">$B9*Revenue!F14</f>
        <v>16926013.0434783</v>
      </c>
      <c r="G9" s="24" t="n">
        <f aca="false">$B9*Revenue!G14</f>
        <v>23646635.8695652</v>
      </c>
      <c r="H9" s="24" t="n">
        <f aca="false">$B9*Revenue!H14</f>
        <v>29558294.8369565</v>
      </c>
      <c r="I9" s="24" t="n">
        <f aca="false">$B9*Revenue!I14</f>
        <v>36947868.5461957</v>
      </c>
      <c r="J9" s="24" t="n">
        <f aca="false">$B9*Revenue!J14</f>
        <v>46184835.6827446</v>
      </c>
      <c r="K9" s="24" t="n">
        <f aca="false">$B9*Revenue!K14</f>
        <v>57731044.6034307</v>
      </c>
      <c r="L9" s="24" t="n">
        <f aca="false">$B9*Revenue!L14</f>
        <v>72163805.7542884</v>
      </c>
      <c r="M9" s="24" t="n">
        <f aca="false">$B9*Revenue!M14</f>
        <v>90204757.1928605</v>
      </c>
      <c r="N9" s="24" t="n">
        <f aca="false">$B9*Revenue!N14</f>
        <v>112755946.491076</v>
      </c>
      <c r="O9" s="24" t="n">
        <f aca="false">$B9*Revenue!O14</f>
        <v>140944933.113844</v>
      </c>
      <c r="P9" s="24" t="n">
        <f aca="false">$B9*Revenue!P14</f>
        <v>176181166.392306</v>
      </c>
    </row>
    <row r="10" customFormat="false" ht="14.25" hidden="false" customHeight="true" outlineLevel="0" collapsed="false">
      <c r="A10" s="1" t="s">
        <v>299</v>
      </c>
      <c r="C10" s="26" t="s">
        <v>300</v>
      </c>
      <c r="E10" s="15" t="n">
        <v>0</v>
      </c>
      <c r="F10" s="15" t="n">
        <v>0</v>
      </c>
      <c r="G10" s="15" t="n">
        <v>0</v>
      </c>
      <c r="H10" s="15" t="n">
        <v>0</v>
      </c>
      <c r="I10" s="15" t="n">
        <v>0</v>
      </c>
      <c r="J10" s="15" t="n">
        <v>0</v>
      </c>
      <c r="K10" s="15" t="n">
        <v>0</v>
      </c>
      <c r="L10" s="15" t="n">
        <v>0</v>
      </c>
      <c r="M10" s="15" t="n">
        <v>0</v>
      </c>
      <c r="N10" s="15" t="n">
        <v>0</v>
      </c>
      <c r="O10" s="15" t="n">
        <v>0</v>
      </c>
      <c r="P10" s="15" t="n">
        <v>0</v>
      </c>
    </row>
    <row r="11" customFormat="false" ht="14.25" hidden="false" customHeight="true" outlineLevel="0" collapsed="false">
      <c r="A11" s="1" t="s">
        <v>301</v>
      </c>
      <c r="B11" s="24" t="n">
        <f aca="false">CLOUD_OPEX</f>
        <v>12000000</v>
      </c>
      <c r="C11" s="26" t="s">
        <v>302</v>
      </c>
      <c r="E11" s="21" t="n">
        <f aca="false">$B11*E$4/(1+VAT_R)</f>
        <v>10434782.6086957</v>
      </c>
      <c r="F11" s="21" t="n">
        <f aca="false">$B11*F$4/(1+VAT_R)</f>
        <v>10956521.7391304</v>
      </c>
      <c r="G11" s="21" t="n">
        <f aca="false">$B11*G$4/(1+VAT_R)</f>
        <v>11504347.826087</v>
      </c>
      <c r="H11" s="21" t="n">
        <f aca="false">$B11*H$4/(1+VAT_R)</f>
        <v>12079565.2173913</v>
      </c>
      <c r="I11" s="21" t="n">
        <f aca="false">$B11*I$4/(1+VAT_R)</f>
        <v>12683543.4782609</v>
      </c>
      <c r="J11" s="21" t="n">
        <f aca="false">$B11*J$4/(1+VAT_R)</f>
        <v>13317720.6521739</v>
      </c>
      <c r="K11" s="21" t="n">
        <f aca="false">$B11*K$4/(1+VAT_R)</f>
        <v>13983606.6847826</v>
      </c>
      <c r="L11" s="21" t="n">
        <f aca="false">$B11*L$4/(1+VAT_R)</f>
        <v>14682787.0190217</v>
      </c>
      <c r="M11" s="21" t="n">
        <f aca="false">$B11*M$4/(1+VAT_R)</f>
        <v>15416926.3699728</v>
      </c>
      <c r="N11" s="21" t="n">
        <f aca="false">$B11*N$4/(1+VAT_R)</f>
        <v>16187772.6884715</v>
      </c>
      <c r="O11" s="21" t="n">
        <f aca="false">$B11*O$4/(1+VAT_R)</f>
        <v>16997161.322895</v>
      </c>
      <c r="P11" s="21" t="n">
        <f aca="false">$B11*P$4/(1+VAT_R)</f>
        <v>17847019.3890398</v>
      </c>
    </row>
    <row r="12" customFormat="false" ht="14.25" hidden="false" customHeight="true" outlineLevel="0" collapsed="false">
      <c r="A12" s="1" t="s">
        <v>303</v>
      </c>
      <c r="B12" s="38" t="n">
        <f aca="false">PROP_TAX</f>
        <v>0.01</v>
      </c>
      <c r="C12" s="26" t="s">
        <v>304</v>
      </c>
      <c r="E12" s="24" t="n">
        <f aca="false">$B12*(Revenue!E24-E7-E8-E9-E11)/EXIT_CAP</f>
        <v>195885703.440454</v>
      </c>
      <c r="F12" s="24" t="n">
        <f aca="false">$B12*(Revenue!F24-F7-F8-F9-F11)/EXIT_CAP</f>
        <v>89663773.9739671</v>
      </c>
      <c r="G12" s="24" t="n">
        <f aca="false">$B12*(Revenue!G24-G7-G8-G9-G11)/EXIT_CAP</f>
        <v>126612546.476491</v>
      </c>
      <c r="H12" s="24" t="n">
        <f aca="false">$B12*(Revenue!H24-H7-H8-H9-H11)/EXIT_CAP</f>
        <v>161066645.180562</v>
      </c>
      <c r="I12" s="24" t="n">
        <f aca="false">$B12*(Revenue!I24-I7-I8-I9-I11)/EXIT_CAP</f>
        <v>204256863.996577</v>
      </c>
      <c r="J12" s="24" t="n">
        <f aca="false">$B12*(Revenue!J24-J7-J8-J9-J11)/EXIT_CAP</f>
        <v>258372141.037537</v>
      </c>
      <c r="K12" s="24" t="n">
        <f aca="false">$B12*(Revenue!K24-K7-K8-K9-K11)/EXIT_CAP</f>
        <v>326148808.830868</v>
      </c>
      <c r="L12" s="24" t="n">
        <f aca="false">$B12*(Revenue!L24-L7-L8-L9-L11)/EXIT_CAP</f>
        <v>411007444.930073</v>
      </c>
      <c r="M12" s="24" t="n">
        <f aca="false">$B12*(Revenue!M24-M7-M8-M9-M11)/EXIT_CAP</f>
        <v>517223934.860656</v>
      </c>
      <c r="N12" s="24" t="n">
        <f aca="false">$B12*(Revenue!N24-N7-N8-N9-N11)/EXIT_CAP</f>
        <v>650143300.43863</v>
      </c>
      <c r="O12" s="24" t="n">
        <f aca="false">$B12*(Revenue!O24-O7-O8-O9-O11)/EXIT_CAP</f>
        <v>816446984.75517</v>
      </c>
      <c r="P12" s="24" t="n">
        <f aca="false">$B12*(Revenue!P24-P7-P8-P9-P11)/EXIT_CAP</f>
        <v>1024486957.93969</v>
      </c>
    </row>
    <row r="13" customFormat="false" ht="14.25" hidden="false" customHeight="true" outlineLevel="0" collapsed="false">
      <c r="A13" s="35" t="s">
        <v>305</v>
      </c>
      <c r="E13" s="21" t="n">
        <f aca="false">(E7+E11)*VAT_R</f>
        <v>26239967.8638941</v>
      </c>
      <c r="F13" s="21" t="n">
        <f aca="false">(F7+F11)*VAT_R</f>
        <v>27551966.2570889</v>
      </c>
      <c r="G13" s="21" t="n">
        <f aca="false">(G7+G11)*VAT_R</f>
        <v>28929564.5699433</v>
      </c>
      <c r="H13" s="21" t="n">
        <f aca="false">(H7+H11)*VAT_R</f>
        <v>30376042.7984405</v>
      </c>
      <c r="I13" s="21" t="n">
        <f aca="false">(I7+I11)*VAT_R</f>
        <v>31894844.9383625</v>
      </c>
      <c r="J13" s="21" t="n">
        <f aca="false">(J7+J11)*VAT_R</f>
        <v>33489587.1852806</v>
      </c>
      <c r="K13" s="21" t="n">
        <f aca="false">(K7+K11)*VAT_R</f>
        <v>35164066.5445446</v>
      </c>
      <c r="L13" s="21" t="n">
        <f aca="false">(L7+L11)*VAT_R</f>
        <v>36922269.8717719</v>
      </c>
      <c r="M13" s="21" t="n">
        <f aca="false">(M7+M11)*VAT_R</f>
        <v>38768383.3653605</v>
      </c>
      <c r="N13" s="21" t="n">
        <f aca="false">(N7+N11)*VAT_R</f>
        <v>40706802.5336285</v>
      </c>
      <c r="O13" s="21" t="n">
        <f aca="false">(O7+O11)*VAT_R</f>
        <v>42742142.6603099</v>
      </c>
      <c r="P13" s="21" t="n">
        <f aca="false">(P7+P11)*VAT_R</f>
        <v>44879249.7933254</v>
      </c>
    </row>
    <row r="14" customFormat="false" ht="14.25" hidden="false" customHeight="true" outlineLevel="0" collapsed="false">
      <c r="A14" s="4" t="s">
        <v>306</v>
      </c>
      <c r="E14" s="28" t="n">
        <f aca="false">SUM(E7:E12)</f>
        <v>476253295.57656</v>
      </c>
      <c r="F14" s="28" t="n">
        <f aca="false">SUM(F7:F12)</f>
        <v>337856037.682096</v>
      </c>
      <c r="G14" s="28" t="n">
        <f aca="false">SUM(G7:G12)</f>
        <v>407537201.882026</v>
      </c>
      <c r="H14" s="28" t="n">
        <f aca="false">SUM(H7:H12)</f>
        <v>473267934.558057</v>
      </c>
      <c r="I14" s="28" t="n">
        <f aca="false">SUM(I7:I12)</f>
        <v>553598583.802661</v>
      </c>
      <c r="J14" s="28" t="n">
        <f aca="false">SUM(J7:J12)</f>
        <v>652085734.253211</v>
      </c>
      <c r="K14" s="28" t="n">
        <f aca="false">SUM(K7:K12)</f>
        <v>773170324.048951</v>
      </c>
      <c r="L14" s="28" t="n">
        <f aca="false">SUM(L7:L12)</f>
        <v>922398484.968335</v>
      </c>
      <c r="M14" s="28" t="n">
        <f aca="false">SUM(M7:M12)</f>
        <v>1106697579.58643</v>
      </c>
      <c r="N14" s="28" t="n">
        <f aca="false">SUM(N7:N12)</f>
        <v>1334721234.01449</v>
      </c>
      <c r="O14" s="28" t="n">
        <f aca="false">SUM(O7:O12)</f>
        <v>1617280614.38685</v>
      </c>
      <c r="P14" s="28" t="n">
        <f aca="false">SUM(P7:P12)</f>
        <v>1967883507.26171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19" activeCellId="0" sqref="H19"/>
    </sheetView>
  </sheetViews>
  <sheetFormatPr defaultColWidth="8.6796875" defaultRowHeight="14.25" zeroHeight="false" outlineLevelRow="0" outlineLevelCol="0"/>
  <cols>
    <col collapsed="false" customWidth="true" hidden="false" outlineLevel="0" max="1" min="1" style="1" width="42"/>
    <col collapsed="false" customWidth="true" hidden="false" outlineLevel="0" max="2" min="2" style="1" width="13.63"/>
    <col collapsed="false" customWidth="true" hidden="false" outlineLevel="0" max="6" min="5" style="1" width="11.27"/>
    <col collapsed="false" customWidth="true" hidden="false" outlineLevel="0" max="7" min="7" style="1" width="9.91"/>
    <col collapsed="false" customWidth="true" hidden="false" outlineLevel="0" max="16" min="8" style="1" width="11.27"/>
  </cols>
  <sheetData>
    <row r="1" customFormat="false" ht="18" hidden="false" customHeight="true" outlineLevel="0" collapsed="false">
      <c r="A1" s="8" t="s">
        <v>307</v>
      </c>
    </row>
    <row r="2" customFormat="false" ht="14.25" hidden="false" customHeight="true" outlineLevel="0" collapsed="false">
      <c r="A2" s="4" t="s">
        <v>253</v>
      </c>
      <c r="E2" s="31" t="s">
        <v>257</v>
      </c>
      <c r="F2" s="31" t="s">
        <v>258</v>
      </c>
      <c r="G2" s="31" t="s">
        <v>259</v>
      </c>
      <c r="H2" s="31" t="s">
        <v>260</v>
      </c>
      <c r="I2" s="31" t="s">
        <v>261</v>
      </c>
      <c r="J2" s="31" t="s">
        <v>262</v>
      </c>
      <c r="K2" s="31" t="s">
        <v>263</v>
      </c>
      <c r="L2" s="31" t="s">
        <v>264</v>
      </c>
      <c r="M2" s="31" t="s">
        <v>265</v>
      </c>
      <c r="N2" s="31" t="s">
        <v>266</v>
      </c>
      <c r="O2" s="31" t="s">
        <v>267</v>
      </c>
      <c r="P2" s="31" t="s">
        <v>268</v>
      </c>
    </row>
    <row r="3" customFormat="false" ht="14.25" hidden="false" customHeight="true" outlineLevel="0" collapsed="false">
      <c r="A3" s="1" t="s">
        <v>308</v>
      </c>
      <c r="B3" s="24" t="n">
        <f aca="false">DEBT_V</f>
        <v>1330949861.10407</v>
      </c>
    </row>
    <row r="4" customFormat="false" ht="14.25" hidden="false" customHeight="true" outlineLevel="0" collapsed="false">
      <c r="A4" s="1" t="s">
        <v>309</v>
      </c>
      <c r="B4" s="5" t="n">
        <f aca="false">TENOR-GRACE_Y</f>
        <v>4</v>
      </c>
    </row>
    <row r="5" customFormat="false" ht="14.25" hidden="false" customHeight="true" outlineLevel="0" collapsed="false">
      <c r="A5" s="1" t="s">
        <v>310</v>
      </c>
      <c r="B5" s="21" t="n">
        <f aca="false">$B$3*RATE/(1-(1+RATE)^-$B$4)</f>
        <v>514131451.562107</v>
      </c>
    </row>
    <row r="7" customFormat="false" ht="14.25" hidden="false" customHeight="true" outlineLevel="0" collapsed="false">
      <c r="A7" s="10" t="s">
        <v>311</v>
      </c>
      <c r="B7" s="11"/>
      <c r="C7" s="11"/>
      <c r="D7" s="11"/>
      <c r="E7" s="11"/>
      <c r="F7" s="11"/>
      <c r="G7" s="11"/>
      <c r="H7" s="11"/>
      <c r="I7" s="11"/>
      <c r="J7" s="11"/>
      <c r="K7" s="11"/>
      <c r="L7" s="11"/>
      <c r="M7" s="11"/>
      <c r="N7" s="11"/>
      <c r="O7" s="11"/>
      <c r="P7" s="11"/>
    </row>
    <row r="8" customFormat="false" ht="14.25" hidden="false" customHeight="true" outlineLevel="0" collapsed="false">
      <c r="A8" s="1" t="s">
        <v>312</v>
      </c>
      <c r="E8" s="21" t="n">
        <f aca="false">$B$3</f>
        <v>1330949861.10407</v>
      </c>
      <c r="F8" s="21" t="n">
        <f aca="false">E11</f>
        <v>1083008381.76277</v>
      </c>
      <c r="G8" s="21" t="n">
        <f aca="false">F11</f>
        <v>785478606.553219</v>
      </c>
      <c r="H8" s="21" t="n">
        <f aca="false">G11</f>
        <v>428442876.301756</v>
      </c>
      <c r="I8" s="21" t="n">
        <f aca="false">H11</f>
        <v>0</v>
      </c>
      <c r="J8" s="21" t="n">
        <f aca="false">I11</f>
        <v>0</v>
      </c>
      <c r="K8" s="21" t="n">
        <f aca="false">J11</f>
        <v>0</v>
      </c>
      <c r="L8" s="21" t="n">
        <f aca="false">K11</f>
        <v>0</v>
      </c>
      <c r="M8" s="21" t="n">
        <f aca="false">L11</f>
        <v>0</v>
      </c>
      <c r="N8" s="21" t="n">
        <f aca="false">M11</f>
        <v>0</v>
      </c>
      <c r="O8" s="21" t="n">
        <f aca="false">N11</f>
        <v>0</v>
      </c>
      <c r="P8" s="21" t="n">
        <f aca="false">O11</f>
        <v>0</v>
      </c>
    </row>
    <row r="9" customFormat="false" ht="14.25" hidden="false" customHeight="true" outlineLevel="0" collapsed="false">
      <c r="A9" s="1" t="s">
        <v>216</v>
      </c>
      <c r="E9" s="21" t="n">
        <f aca="false">IF(1&lt;=$B$4,E8*RATE,0)</f>
        <v>266189972.220813</v>
      </c>
      <c r="F9" s="21" t="n">
        <f aca="false">IF(2&lt;=$B$4,F8*RATE,0)</f>
        <v>216601676.352554</v>
      </c>
      <c r="G9" s="21" t="n">
        <f aca="false">IF(3&lt;=$B$4,G8*RATE,0)</f>
        <v>157095721.310644</v>
      </c>
      <c r="H9" s="21" t="n">
        <f aca="false">IF(4&lt;=$B$4,H8*RATE,0)</f>
        <v>85688575.2603512</v>
      </c>
      <c r="I9" s="21" t="n">
        <f aca="false">IF(5&lt;=$B$4,I8*RATE,0)</f>
        <v>0</v>
      </c>
      <c r="J9" s="21" t="n">
        <f aca="false">IF(6&lt;=$B$4,J8*RATE,0)</f>
        <v>0</v>
      </c>
      <c r="K9" s="21" t="n">
        <f aca="false">IF(7&lt;=$B$4,K8*RATE,0)</f>
        <v>0</v>
      </c>
      <c r="L9" s="21" t="n">
        <f aca="false">IF(8&lt;=$B$4,L8*RATE,0)</f>
        <v>0</v>
      </c>
      <c r="M9" s="21" t="n">
        <f aca="false">IF(9&lt;=$B$4,M8*RATE,0)</f>
        <v>0</v>
      </c>
      <c r="N9" s="21" t="n">
        <f aca="false">IF(10&lt;=$B$4,N8*RATE,0)</f>
        <v>0</v>
      </c>
      <c r="O9" s="21" t="n">
        <f aca="false">IF(11&lt;=$B$4,O8*RATE,0)</f>
        <v>0</v>
      </c>
      <c r="P9" s="21" t="n">
        <f aca="false">IF(12&lt;=$B$4,P8*RATE,0)</f>
        <v>0</v>
      </c>
    </row>
    <row r="10" customFormat="false" ht="14.25" hidden="false" customHeight="true" outlineLevel="0" collapsed="false">
      <c r="A10" s="1" t="s">
        <v>313</v>
      </c>
      <c r="E10" s="21" t="n">
        <f aca="false">IF(1&lt;=$B$4,$B$5-E9,0)</f>
        <v>247941479.341294</v>
      </c>
      <c r="F10" s="21" t="n">
        <f aca="false">IF(2&lt;=$B$4,$B$5-F9,0)</f>
        <v>297529775.209553</v>
      </c>
      <c r="G10" s="21" t="n">
        <f aca="false">IF(3&lt;=$B$4,$B$5-G9,0)</f>
        <v>357035730.251464</v>
      </c>
      <c r="H10" s="21" t="n">
        <f aca="false">IF(4&lt;=$B$4,$B$5-H9,0)</f>
        <v>428442876.301756</v>
      </c>
      <c r="I10" s="21" t="n">
        <f aca="false">IF(5&lt;=$B$4,$B$5-I9,0)</f>
        <v>0</v>
      </c>
      <c r="J10" s="21" t="n">
        <f aca="false">IF(6&lt;=$B$4,$B$5-J9,0)</f>
        <v>0</v>
      </c>
      <c r="K10" s="21" t="n">
        <f aca="false">IF(7&lt;=$B$4,$B$5-K9,0)</f>
        <v>0</v>
      </c>
      <c r="L10" s="21" t="n">
        <f aca="false">IF(8&lt;=$B$4,$B$5-L9,0)</f>
        <v>0</v>
      </c>
      <c r="M10" s="21" t="n">
        <f aca="false">IF(9&lt;=$B$4,$B$5-M9,0)</f>
        <v>0</v>
      </c>
      <c r="N10" s="21" t="n">
        <f aca="false">IF(10&lt;=$B$4,$B$5-N9,0)</f>
        <v>0</v>
      </c>
      <c r="O10" s="21" t="n">
        <f aca="false">IF(11&lt;=$B$4,$B$5-O9,0)</f>
        <v>0</v>
      </c>
      <c r="P10" s="21" t="n">
        <f aca="false">IF(12&lt;=$B$4,$B$5-P9,0)</f>
        <v>0</v>
      </c>
    </row>
    <row r="11" customFormat="false" ht="14.25" hidden="false" customHeight="true" outlineLevel="0" collapsed="false">
      <c r="A11" s="1" t="s">
        <v>314</v>
      </c>
      <c r="E11" s="21" t="n">
        <f aca="false">E8-E10</f>
        <v>1083008381.76277</v>
      </c>
      <c r="F11" s="21" t="n">
        <f aca="false">F8-F10</f>
        <v>785478606.553219</v>
      </c>
      <c r="G11" s="21" t="n">
        <f aca="false">G8-G10</f>
        <v>428442876.301756</v>
      </c>
      <c r="H11" s="21" t="n">
        <f aca="false">H8-H10</f>
        <v>0</v>
      </c>
      <c r="I11" s="21" t="n">
        <f aca="false">I8-I10</f>
        <v>0</v>
      </c>
      <c r="J11" s="21" t="n">
        <f aca="false">J8-J10</f>
        <v>0</v>
      </c>
      <c r="K11" s="21" t="n">
        <f aca="false">K8-K10</f>
        <v>0</v>
      </c>
      <c r="L11" s="21" t="n">
        <f aca="false">L8-L10</f>
        <v>0</v>
      </c>
      <c r="M11" s="21" t="n">
        <f aca="false">M8-M10</f>
        <v>0</v>
      </c>
      <c r="N11" s="21" t="n">
        <f aca="false">N8-N10</f>
        <v>0</v>
      </c>
      <c r="O11" s="21" t="n">
        <f aca="false">O8-O10</f>
        <v>0</v>
      </c>
      <c r="P11" s="21" t="n">
        <f aca="false">P8-P10</f>
        <v>0</v>
      </c>
    </row>
    <row r="12" customFormat="false" ht="14.25" hidden="false" customHeight="true" outlineLevel="0" collapsed="false">
      <c r="A12" s="4" t="s">
        <v>315</v>
      </c>
      <c r="E12" s="22" t="n">
        <f aca="false">E9+E10</f>
        <v>514131451.562107</v>
      </c>
      <c r="F12" s="22" t="n">
        <f aca="false">F9+F10</f>
        <v>514131451.562107</v>
      </c>
      <c r="G12" s="22" t="n">
        <f aca="false">G9+G10</f>
        <v>514131451.562107</v>
      </c>
      <c r="H12" s="22" t="n">
        <f aca="false">H9+H10</f>
        <v>514131451.562107</v>
      </c>
      <c r="I12" s="22" t="n">
        <f aca="false">I9+I10</f>
        <v>0</v>
      </c>
      <c r="J12" s="22" t="n">
        <f aca="false">J9+J10</f>
        <v>0</v>
      </c>
      <c r="K12" s="22" t="n">
        <f aca="false">K9+K10</f>
        <v>0</v>
      </c>
      <c r="L12" s="22" t="n">
        <f aca="false">L9+L10</f>
        <v>0</v>
      </c>
      <c r="M12" s="22" t="n">
        <f aca="false">M9+M10</f>
        <v>0</v>
      </c>
      <c r="N12" s="22" t="n">
        <f aca="false">N9+N10</f>
        <v>0</v>
      </c>
      <c r="O12" s="22" t="n">
        <f aca="false">O9+O10</f>
        <v>0</v>
      </c>
      <c r="P12" s="22" t="n">
        <f aca="false">P9+P10</f>
        <v>0</v>
      </c>
    </row>
    <row r="14" customFormat="false" ht="14.25" hidden="false" customHeight="true" outlineLevel="0" collapsed="false">
      <c r="A14" s="10" t="s">
        <v>316</v>
      </c>
      <c r="B14" s="11"/>
      <c r="C14" s="11"/>
      <c r="D14" s="11"/>
      <c r="E14" s="11"/>
      <c r="F14" s="11"/>
      <c r="G14" s="11"/>
      <c r="H14" s="11"/>
      <c r="I14" s="11"/>
      <c r="J14" s="11"/>
      <c r="K14" s="11"/>
      <c r="L14" s="11"/>
      <c r="M14" s="11"/>
      <c r="N14" s="11"/>
      <c r="O14" s="11"/>
      <c r="P14" s="11"/>
    </row>
    <row r="15" customFormat="false" ht="14.25" hidden="false" customHeight="true" outlineLevel="0" collapsed="false">
      <c r="A15" s="1" t="s">
        <v>317</v>
      </c>
      <c r="E15" s="24" t="n">
        <f aca="false">CashFlow!E23</f>
        <v>2380487093.67407</v>
      </c>
      <c r="F15" s="24" t="n">
        <f aca="false">CashFlow!F23</f>
        <v>728676853.522555</v>
      </c>
      <c r="G15" s="24" t="n">
        <f aca="false">CashFlow!G23</f>
        <v>954019689.976392</v>
      </c>
      <c r="H15" s="24" t="n">
        <f aca="false">CashFlow!H23</f>
        <v>1159705531.20307</v>
      </c>
      <c r="I15" s="24" t="n">
        <f aca="false">CashFlow!I23</f>
        <v>1419604496.67922</v>
      </c>
      <c r="J15" s="24" t="n">
        <f aca="false">CashFlow!J23</f>
        <v>1778183555.34381</v>
      </c>
      <c r="K15" s="24" t="n">
        <f aca="false">CashFlow!K23</f>
        <v>2227868369.24323</v>
      </c>
      <c r="L15" s="24" t="n">
        <f aca="false">CashFlow!L23</f>
        <v>2791354277.76196</v>
      </c>
      <c r="M15" s="24" t="n">
        <f aca="false">CashFlow!M23</f>
        <v>3497034718.56754</v>
      </c>
      <c r="N15" s="24" t="n">
        <f aca="false">CashFlow!N23</f>
        <v>4380421125.87484</v>
      </c>
      <c r="O15" s="24" t="n">
        <f aca="false">CashFlow!O23</f>
        <v>5485918727.55084</v>
      </c>
      <c r="P15" s="24" t="n">
        <f aca="false">CashFlow!P23</f>
        <v>6869047030.00468</v>
      </c>
    </row>
    <row r="16" customFormat="false" ht="14.25" hidden="false" customHeight="true" outlineLevel="0" collapsed="false">
      <c r="A16" s="4" t="s">
        <v>318</v>
      </c>
      <c r="E16" s="39" t="n">
        <f aca="false">IF(E12=0,"",E15/E12)</f>
        <v>4.63011373150063</v>
      </c>
      <c r="F16" s="39" t="n">
        <f aca="false">IF(F12=0,"",F15/F12)</f>
        <v>1.41729678530381</v>
      </c>
      <c r="G16" s="39" t="n">
        <f aca="false">IF(G12=0,"",G15/G12)</f>
        <v>1.85559488157699</v>
      </c>
      <c r="H16" s="39" t="n">
        <f aca="false">IF(H12=0,"",H15/H12)</f>
        <v>2.25565957437439</v>
      </c>
      <c r="I16" s="39" t="str">
        <f aca="false">IF(I12=0,"",I15/I12)</f>
        <v/>
      </c>
      <c r="J16" s="39" t="str">
        <f aca="false">IF(J12=0,"",J15/J12)</f>
        <v/>
      </c>
      <c r="K16" s="39" t="str">
        <f aca="false">IF(K12=0,"",K15/K12)</f>
        <v/>
      </c>
      <c r="L16" s="39" t="str">
        <f aca="false">IF(L12=0,"",L15/L12)</f>
        <v/>
      </c>
      <c r="M16" s="39" t="str">
        <f aca="false">IF(M12=0,"",M15/M12)</f>
        <v/>
      </c>
      <c r="N16" s="39" t="str">
        <f aca="false">IF(N12=0,"",N15/N12)</f>
        <v/>
      </c>
      <c r="O16" s="39" t="str">
        <f aca="false">IF(O12=0,"",O15/O12)</f>
        <v/>
      </c>
      <c r="P16" s="39" t="str">
        <f aca="false">IF(P12=0,"",P15/P12)</f>
        <v/>
      </c>
    </row>
    <row r="17" customFormat="false" ht="14.25" hidden="false" customHeight="true" outlineLevel="0" collapsed="false">
      <c r="A17" s="1" t="s">
        <v>319</v>
      </c>
      <c r="E17" s="4" t="str">
        <f aca="false">IF(E12=0,"n/a",IF(E16&gt;=DSCR_COV,"PASS","BREACH"))</f>
        <v>PASS</v>
      </c>
      <c r="F17" s="4" t="str">
        <f aca="false">IF(F12=0,"n/a",IF(F16&gt;=DSCR_COV,"PASS","BREACH"))</f>
        <v>PASS</v>
      </c>
      <c r="G17" s="4" t="str">
        <f aca="false">IF(G12=0,"n/a",IF(G16&gt;=DSCR_COV,"PASS","BREACH"))</f>
        <v>PASS</v>
      </c>
      <c r="H17" s="4" t="str">
        <f aca="false">IF(H12=0,"n/a",IF(H16&gt;=DSCR_COV,"PASS","BREACH"))</f>
        <v>PASS</v>
      </c>
      <c r="I17" s="4" t="str">
        <f aca="false">IF(I12=0,"n/a",IF(I16&gt;=DSCR_COV,"PASS","BREACH"))</f>
        <v>n/a</v>
      </c>
      <c r="J17" s="4" t="str">
        <f aca="false">IF(J12=0,"n/a",IF(J16&gt;=DSCR_COV,"PASS","BREACH"))</f>
        <v>n/a</v>
      </c>
      <c r="K17" s="4" t="str">
        <f aca="false">IF(K12=0,"n/a",IF(K16&gt;=DSCR_COV,"PASS","BREACH"))</f>
        <v>n/a</v>
      </c>
      <c r="L17" s="4" t="str">
        <f aca="false">IF(L12=0,"n/a",IF(L16&gt;=DSCR_COV,"PASS","BREACH"))</f>
        <v>n/a</v>
      </c>
      <c r="M17" s="4" t="str">
        <f aca="false">IF(M12=0,"n/a",IF(M16&gt;=DSCR_COV,"PASS","BREACH"))</f>
        <v>n/a</v>
      </c>
      <c r="N17" s="4" t="str">
        <f aca="false">IF(N12=0,"n/a",IF(N16&gt;=DSCR_COV,"PASS","BREACH"))</f>
        <v>n/a</v>
      </c>
      <c r="O17" s="4" t="str">
        <f aca="false">IF(O12=0,"n/a",IF(O16&gt;=DSCR_COV,"PASS","BREACH"))</f>
        <v>n/a</v>
      </c>
      <c r="P17" s="4" t="str">
        <f aca="false">IF(P12=0,"n/a",IF(P16&gt;=DSCR_COV,"PASS","BREACH"))</f>
        <v>n/a</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8" activeCellId="0" sqref="F18"/>
    </sheetView>
  </sheetViews>
  <sheetFormatPr defaultColWidth="8.6796875" defaultRowHeight="14.25" zeroHeight="false" outlineLevelRow="0" outlineLevelCol="0"/>
  <cols>
    <col collapsed="false" customWidth="true" hidden="false" outlineLevel="0" max="1" min="1" style="1" width="52"/>
    <col collapsed="false" customWidth="true" hidden="false" outlineLevel="0" max="2" min="2" style="1" width="20"/>
  </cols>
  <sheetData>
    <row r="1" customFormat="false" ht="18" hidden="false" customHeight="true" outlineLevel="0" collapsed="false">
      <c r="A1" s="8" t="s">
        <v>320</v>
      </c>
    </row>
    <row r="2" customFormat="false" ht="14.25" hidden="false" customHeight="true" outlineLevel="0" collapsed="false">
      <c r="A2" s="10" t="s">
        <v>321</v>
      </c>
      <c r="B2" s="11"/>
    </row>
    <row r="3" customFormat="false" ht="14.25" hidden="false" customHeight="true" outlineLevel="0" collapsed="false">
      <c r="A3" s="5" t="s">
        <v>322</v>
      </c>
      <c r="B3" s="25" t="n">
        <f aca="false">RETAIL_TOT*SOLD_PCT/NET_GLA</f>
        <v>0.148543134641021</v>
      </c>
    </row>
    <row r="4" customFormat="false" ht="14.25" hidden="false" customHeight="true" outlineLevel="0" collapsed="false">
      <c r="A4" s="5" t="s">
        <v>323</v>
      </c>
      <c r="B4" s="25" t="n">
        <f aca="false">1-B3</f>
        <v>0.851456865358979</v>
      </c>
    </row>
    <row r="5" customFormat="false" ht="14.25" hidden="false" customHeight="true" outlineLevel="0" collapsed="false">
      <c r="A5" s="5" t="s">
        <v>324</v>
      </c>
      <c r="B5" s="25" t="n">
        <f aca="false">HQ_A/NET_GLA</f>
        <v>0.0411350219005904</v>
      </c>
    </row>
    <row r="6" customFormat="false" ht="14.25" hidden="false" customHeight="true" outlineLevel="0" collapsed="false">
      <c r="A6" s="5" t="s">
        <v>325</v>
      </c>
      <c r="B6" s="21" t="n">
        <f aca="false">CAPEX-FFE</f>
        <v>6690779444.41627</v>
      </c>
    </row>
    <row r="8" customFormat="false" ht="14.25" hidden="false" customHeight="true" outlineLevel="0" collapsed="false">
      <c r="A8" s="10" t="s">
        <v>326</v>
      </c>
      <c r="B8" s="11"/>
    </row>
    <row r="9" customFormat="false" ht="14.25" hidden="false" customHeight="true" outlineLevel="0" collapsed="false">
      <c r="A9" s="5" t="s">
        <v>327</v>
      </c>
      <c r="B9" s="21" t="n">
        <f aca="false">$B$3*$B$6</f>
        <v>993869351.865299</v>
      </c>
    </row>
    <row r="10" customFormat="false" ht="14.25" hidden="false" customHeight="true" outlineLevel="0" collapsed="false">
      <c r="A10" s="5" t="s">
        <v>328</v>
      </c>
      <c r="B10" s="21" t="n">
        <f aca="false">$B$5*$B$6+HQ_A1*HQ_R1+HQ_A2*HQ_R2</f>
        <v>299465358.978083</v>
      </c>
    </row>
    <row r="11" customFormat="false" ht="14.25" hidden="false" customHeight="true" outlineLevel="0" collapsed="false">
      <c r="A11" s="5" t="s">
        <v>329</v>
      </c>
      <c r="B11" s="21" t="n">
        <f aca="false">CAPEX-B9-B10</f>
        <v>5560464733.57288</v>
      </c>
    </row>
    <row r="12" customFormat="false" ht="14.25" hidden="false" customHeight="true" outlineLevel="0" collapsed="false">
      <c r="A12" s="4" t="s">
        <v>330</v>
      </c>
      <c r="B12" s="28" t="n">
        <f aca="false">B9+B10+B11-CAPEX</f>
        <v>0</v>
      </c>
    </row>
    <row r="14" customFormat="false" ht="14.25" hidden="false" customHeight="true" outlineLevel="0" collapsed="false">
      <c r="A14" s="10" t="s">
        <v>331</v>
      </c>
      <c r="B14" s="11"/>
    </row>
    <row r="15" customFormat="false" ht="14.25" hidden="false" customHeight="true" outlineLevel="0" collapsed="false">
      <c r="A15" s="5" t="s">
        <v>332</v>
      </c>
      <c r="B15" s="21" t="n">
        <f aca="false">INPUT_VAT_CAPEX</f>
        <v>629311210.434783</v>
      </c>
    </row>
    <row r="16" customFormat="false" ht="14.25" hidden="false" customHeight="true" outlineLevel="0" collapsed="false">
      <c r="A16" s="5" t="s">
        <v>333</v>
      </c>
      <c r="B16" s="21" t="n">
        <f aca="false">B9+B10+B11-LAND_V</f>
        <v>5203799444.41627</v>
      </c>
    </row>
    <row r="18" customFormat="false" ht="14.25" hidden="false" customHeight="true" outlineLevel="0" collapsed="false">
      <c r="A18" s="10" t="s">
        <v>334</v>
      </c>
      <c r="B18" s="11"/>
    </row>
    <row r="19" customFormat="false" ht="14.25" hidden="false" customHeight="true" outlineLevel="0" collapsed="false">
      <c r="A19" s="5" t="s">
        <v>335</v>
      </c>
      <c r="B19" s="21" t="n">
        <f aca="false">B9-$B$15*(B9/$B$16)</f>
        <v>873677724.282975</v>
      </c>
    </row>
    <row r="20" customFormat="false" ht="14.25" hidden="false" customHeight="true" outlineLevel="0" collapsed="false">
      <c r="A20" s="5" t="s">
        <v>336</v>
      </c>
      <c r="B20" s="21" t="n">
        <f aca="false">B10-$B$15*(B10/$B$16)</f>
        <v>263250107.11168</v>
      </c>
    </row>
    <row r="21" customFormat="false" ht="14.25" hidden="false" customHeight="true" outlineLevel="0" collapsed="false">
      <c r="A21" s="5" t="s">
        <v>337</v>
      </c>
      <c r="B21" s="21" t="n">
        <f aca="false">B11-$B$15*((B11-LAND_V)/$B$16)</f>
        <v>5087560402.58683</v>
      </c>
    </row>
    <row r="22" customFormat="false" ht="14.25" hidden="false" customHeight="true" outlineLevel="0" collapsed="false">
      <c r="A22" s="4" t="s">
        <v>338</v>
      </c>
      <c r="B22" s="28" t="n">
        <f aca="false">B19+B20+B21-(CAPEX-B15)</f>
        <v>0</v>
      </c>
    </row>
    <row r="24" customFormat="false" ht="14.25" hidden="false" customHeight="true" outlineLevel="0" collapsed="false">
      <c r="A24" s="10" t="s">
        <v>339</v>
      </c>
      <c r="B24" s="11"/>
    </row>
    <row r="25" customFormat="false" ht="14.25" hidden="false" customHeight="true" outlineLevel="0" collapsed="false">
      <c r="A25" s="5" t="s">
        <v>340</v>
      </c>
      <c r="B25" s="21" t="n">
        <f aca="false">LAND_V*$B$4</f>
        <v>1404903827.84232</v>
      </c>
    </row>
    <row r="26" customFormat="false" ht="14.25" hidden="false" customHeight="true" outlineLevel="0" collapsed="false">
      <c r="A26" s="5" t="s">
        <v>341</v>
      </c>
      <c r="B26" s="21" t="n">
        <f aca="false">BOQ_I*$B$4</f>
        <v>134743048.943058</v>
      </c>
    </row>
    <row r="27" customFormat="false" ht="14.25" hidden="false" customHeight="true" outlineLevel="0" collapsed="false">
      <c r="A27" s="5" t="s">
        <v>342</v>
      </c>
      <c r="B27" s="21" t="n">
        <f aca="false">FFE</f>
        <v>163020000</v>
      </c>
    </row>
    <row r="28" customFormat="false" ht="14.25" hidden="false" customHeight="true" outlineLevel="0" collapsed="false">
      <c r="A28" s="5" t="s">
        <v>343</v>
      </c>
      <c r="B28" s="21" t="n">
        <f aca="false">(CAPEX-FFE-LAND_V-BOQ_I)*$B$4</f>
        <v>4157263215.76559</v>
      </c>
    </row>
    <row r="29" customFormat="false" ht="14.25" hidden="false" customHeight="true" outlineLevel="0" collapsed="false">
      <c r="A29" s="5" t="s">
        <v>344</v>
      </c>
      <c r="B29" s="21" t="n">
        <f aca="false">B26+B27+B28</f>
        <v>4455026264.70865</v>
      </c>
    </row>
    <row r="30" customFormat="false" ht="14.25" hidden="false" customHeight="true" outlineLevel="0" collapsed="false">
      <c r="A30" s="5" t="s">
        <v>345</v>
      </c>
      <c r="B30" s="21" t="n">
        <f aca="false">$B$15*$B$4</f>
        <v>535831350.572065</v>
      </c>
    </row>
    <row r="32" customFormat="false" ht="14.25" hidden="false" customHeight="true" outlineLevel="0" collapsed="false">
      <c r="A32" s="10" t="s">
        <v>346</v>
      </c>
      <c r="B32" s="11"/>
    </row>
    <row r="33" customFormat="false" ht="14.25" hidden="false" customHeight="true" outlineLevel="0" collapsed="false">
      <c r="A33" s="5" t="s">
        <v>347</v>
      </c>
      <c r="B33" s="21" t="n">
        <f aca="false">B26-$B$30*(B26/$B$29)</f>
        <v>118536735.982055</v>
      </c>
    </row>
    <row r="34" customFormat="false" ht="14.25" hidden="false" customHeight="true" outlineLevel="0" collapsed="false">
      <c r="A34" s="5" t="s">
        <v>348</v>
      </c>
      <c r="B34" s="21" t="n">
        <f aca="false">B27-$B$30*(B27/$B$29)</f>
        <v>143412657.286394</v>
      </c>
    </row>
    <row r="35" customFormat="false" ht="14.25" hidden="false" customHeight="true" outlineLevel="0" collapsed="false">
      <c r="A35" s="5" t="s">
        <v>349</v>
      </c>
      <c r="B35" s="21" t="n">
        <f aca="false">B28-$B$30*(B28/$B$29)</f>
        <v>3657245520.86814</v>
      </c>
    </row>
    <row r="37" customFormat="false" ht="14.25" hidden="false" customHeight="true" outlineLevel="0" collapsed="false">
      <c r="A37" s="4" t="s">
        <v>350</v>
      </c>
      <c r="B37" s="22" t="n">
        <f aca="false">B35/LIFE_B+B33/LIFE_S+B34/LIFE_F</f>
        <v>101534881.952318</v>
      </c>
    </row>
    <row r="39" customFormat="false" ht="14.25" hidden="false" customHeight="true" outlineLevel="0" collapsed="false">
      <c r="A39" s="10" t="s">
        <v>351</v>
      </c>
      <c r="B39" s="11"/>
    </row>
    <row r="40" customFormat="false" ht="14.25" hidden="false" customHeight="true" outlineLevel="0" collapsed="false">
      <c r="A40" s="5" t="s">
        <v>352</v>
      </c>
      <c r="B40" s="21" t="n">
        <f aca="false">B35</f>
        <v>3657245520.86814</v>
      </c>
    </row>
    <row r="41" customFormat="false" ht="14.25" hidden="false" customHeight="true" outlineLevel="0" collapsed="false">
      <c r="A41" s="5" t="s">
        <v>353</v>
      </c>
      <c r="B41" s="21" t="n">
        <f aca="false">B40*TAX_DEP</f>
        <v>182862276.043407</v>
      </c>
    </row>
    <row r="42" customFormat="false" ht="14.25" hidden="false" customHeight="true" outlineLevel="0" collapsed="false">
      <c r="A42" s="5" t="s">
        <v>354</v>
      </c>
      <c r="B42" s="21" t="n">
        <f aca="false">B33+B34</f>
        <v>261949393.26845</v>
      </c>
    </row>
    <row r="43" customFormat="false" ht="14.25" hidden="false" customHeight="true" outlineLevel="0" collapsed="false">
      <c r="A43" s="5" t="s">
        <v>355</v>
      </c>
      <c r="B43" s="25" t="n">
        <f aca="false">TAX_DEP_PLANT</f>
        <v>0.2</v>
      </c>
    </row>
    <row r="45" customFormat="false" ht="14.25" hidden="false" customHeight="true" outlineLevel="0" collapsed="false">
      <c r="A45" s="6" t="s">
        <v>356</v>
      </c>
      <c r="E45" s="1" t="s">
        <v>257</v>
      </c>
      <c r="F45" s="1" t="s">
        <v>258</v>
      </c>
      <c r="G45" s="1" t="s">
        <v>259</v>
      </c>
      <c r="H45" s="1" t="s">
        <v>260</v>
      </c>
      <c r="I45" s="1" t="s">
        <v>261</v>
      </c>
      <c r="J45" s="1" t="s">
        <v>262</v>
      </c>
      <c r="K45" s="1" t="s">
        <v>263</v>
      </c>
      <c r="L45" s="1" t="s">
        <v>264</v>
      </c>
      <c r="M45" s="1" t="s">
        <v>265</v>
      </c>
      <c r="N45" s="1" t="s">
        <v>266</v>
      </c>
      <c r="O45" s="1" t="s">
        <v>267</v>
      </c>
      <c r="P45" s="1" t="s">
        <v>268</v>
      </c>
    </row>
    <row r="47" customFormat="false" ht="14.25" hidden="false" customHeight="true" outlineLevel="0" collapsed="false">
      <c r="A47" s="1" t="s">
        <v>357</v>
      </c>
      <c r="E47" s="1" t="n">
        <f aca="false">COLUMN()-4</f>
        <v>1</v>
      </c>
      <c r="F47" s="1" t="n">
        <f aca="false">COLUMN()-4</f>
        <v>2</v>
      </c>
      <c r="G47" s="1" t="n">
        <f aca="false">COLUMN()-4</f>
        <v>3</v>
      </c>
      <c r="H47" s="1" t="n">
        <f aca="false">COLUMN()-4</f>
        <v>4</v>
      </c>
      <c r="I47" s="1" t="n">
        <f aca="false">COLUMN()-4</f>
        <v>5</v>
      </c>
      <c r="J47" s="1" t="n">
        <f aca="false">COLUMN()-4</f>
        <v>6</v>
      </c>
      <c r="K47" s="1" t="n">
        <f aca="false">COLUMN()-4</f>
        <v>7</v>
      </c>
      <c r="L47" s="1" t="n">
        <f aca="false">COLUMN()-4</f>
        <v>8</v>
      </c>
      <c r="M47" s="1" t="n">
        <f aca="false">COLUMN()-4</f>
        <v>9</v>
      </c>
      <c r="N47" s="1" t="n">
        <f aca="false">COLUMN()-4</f>
        <v>10</v>
      </c>
      <c r="O47" s="1" t="n">
        <f aca="false">COLUMN()-4</f>
        <v>11</v>
      </c>
      <c r="P47" s="1" t="n">
        <f aca="false">COLUMN()-4</f>
        <v>12</v>
      </c>
    </row>
    <row r="48" customFormat="false" ht="14.25" hidden="false" customHeight="true" outlineLevel="0" collapsed="false">
      <c r="A48" s="1" t="s">
        <v>358</v>
      </c>
      <c r="E48" s="1" t="n">
        <f aca="false">$B$35/LIFE_B</f>
        <v>73144910.4173627</v>
      </c>
      <c r="F48" s="1" t="n">
        <f aca="false">$B$35/LIFE_B</f>
        <v>73144910.4173627</v>
      </c>
      <c r="G48" s="1" t="n">
        <f aca="false">$B$35/LIFE_B</f>
        <v>73144910.4173627</v>
      </c>
      <c r="H48" s="1" t="n">
        <f aca="false">$B$35/LIFE_B</f>
        <v>73144910.4173627</v>
      </c>
      <c r="I48" s="1" t="n">
        <f aca="false">$B$35/LIFE_B</f>
        <v>73144910.4173627</v>
      </c>
      <c r="J48" s="1" t="n">
        <f aca="false">$B$35/LIFE_B</f>
        <v>73144910.4173627</v>
      </c>
      <c r="K48" s="1" t="n">
        <f aca="false">$B$35/LIFE_B</f>
        <v>73144910.4173627</v>
      </c>
      <c r="L48" s="1" t="n">
        <f aca="false">$B$35/LIFE_B</f>
        <v>73144910.4173627</v>
      </c>
      <c r="M48" s="1" t="n">
        <f aca="false">$B$35/LIFE_B</f>
        <v>73144910.4173627</v>
      </c>
      <c r="N48" s="1" t="n">
        <f aca="false">$B$35/LIFE_B</f>
        <v>73144910.4173627</v>
      </c>
      <c r="O48" s="1" t="n">
        <f aca="false">$B$35/LIFE_B</f>
        <v>73144910.4173627</v>
      </c>
      <c r="P48" s="1" t="n">
        <f aca="false">$B$35/LIFE_B</f>
        <v>73144910.4173627</v>
      </c>
    </row>
    <row r="49" customFormat="false" ht="14.25" hidden="false" customHeight="true" outlineLevel="0" collapsed="false">
      <c r="A49" s="1" t="s">
        <v>359</v>
      </c>
      <c r="E49" s="1" t="n">
        <f aca="false">$B$33/LIFE_S</f>
        <v>7902449.06547036</v>
      </c>
      <c r="F49" s="1" t="n">
        <f aca="false">$B$33/LIFE_S</f>
        <v>7902449.06547036</v>
      </c>
      <c r="G49" s="1" t="n">
        <f aca="false">$B$33/LIFE_S</f>
        <v>7902449.06547036</v>
      </c>
      <c r="H49" s="1" t="n">
        <f aca="false">$B$33/LIFE_S</f>
        <v>7902449.06547036</v>
      </c>
      <c r="I49" s="1" t="n">
        <f aca="false">$B$33/LIFE_S</f>
        <v>7902449.06547036</v>
      </c>
      <c r="J49" s="1" t="n">
        <f aca="false">$B$33/LIFE_S</f>
        <v>7902449.06547036</v>
      </c>
      <c r="K49" s="1" t="n">
        <f aca="false">$B$33/LIFE_S</f>
        <v>7902449.06547036</v>
      </c>
      <c r="L49" s="1" t="n">
        <f aca="false">$B$33/LIFE_S</f>
        <v>7902449.06547036</v>
      </c>
      <c r="M49" s="1" t="n">
        <f aca="false">$B$33/LIFE_S</f>
        <v>7902449.06547036</v>
      </c>
      <c r="N49" s="1" t="n">
        <f aca="false">$B$33/LIFE_S</f>
        <v>7902449.06547036</v>
      </c>
      <c r="O49" s="1" t="n">
        <f aca="false">$B$33/LIFE_S</f>
        <v>7902449.06547036</v>
      </c>
      <c r="P49" s="1" t="n">
        <f aca="false">$B$33/LIFE_S</f>
        <v>7902449.06547036</v>
      </c>
    </row>
    <row r="50" customFormat="false" ht="14.25" hidden="false" customHeight="true" outlineLevel="0" collapsed="false">
      <c r="A50" s="1" t="s">
        <v>360</v>
      </c>
      <c r="E50" s="1" t="n">
        <f aca="false">IF(E47&lt;=LIFE_F,$B$34/LIFE_F,0)</f>
        <v>20487522.4694849</v>
      </c>
      <c r="F50" s="1" t="n">
        <f aca="false">IF(F47&lt;=LIFE_F,$B$34/LIFE_F,0)</f>
        <v>20487522.4694849</v>
      </c>
      <c r="G50" s="1" t="n">
        <f aca="false">IF(G47&lt;=LIFE_F,$B$34/LIFE_F,0)</f>
        <v>20487522.4694849</v>
      </c>
      <c r="H50" s="1" t="n">
        <f aca="false">IF(H47&lt;=LIFE_F,$B$34/LIFE_F,0)</f>
        <v>20487522.4694849</v>
      </c>
      <c r="I50" s="1" t="n">
        <f aca="false">IF(I47&lt;=LIFE_F,$B$34/LIFE_F,0)</f>
        <v>20487522.4694849</v>
      </c>
      <c r="J50" s="1" t="n">
        <f aca="false">IF(J47&lt;=LIFE_F,$B$34/LIFE_F,0)</f>
        <v>20487522.4694849</v>
      </c>
      <c r="K50" s="1" t="n">
        <f aca="false">IF(K47&lt;=LIFE_F,$B$34/LIFE_F,0)</f>
        <v>20487522.4694849</v>
      </c>
      <c r="L50" s="1" t="n">
        <f aca="false">IF(L47&lt;=LIFE_F,$B$34/LIFE_F,0)</f>
        <v>0</v>
      </c>
      <c r="M50" s="1" t="n">
        <f aca="false">IF(M47&lt;=LIFE_F,$B$34/LIFE_F,0)</f>
        <v>0</v>
      </c>
      <c r="N50" s="1" t="n">
        <f aca="false">IF(N47&lt;=LIFE_F,$B$34/LIFE_F,0)</f>
        <v>0</v>
      </c>
      <c r="O50" s="1" t="n">
        <f aca="false">IF(O47&lt;=LIFE_F,$B$34/LIFE_F,0)</f>
        <v>0</v>
      </c>
      <c r="P50" s="1" t="n">
        <f aca="false">IF(P47&lt;=LIFE_F,$B$34/LIFE_F,0)</f>
        <v>0</v>
      </c>
    </row>
    <row r="51" customFormat="false" ht="14.25" hidden="false" customHeight="true" outlineLevel="0" collapsed="false">
      <c r="A51" s="6" t="s">
        <v>361</v>
      </c>
      <c r="E51" s="1" t="n">
        <f aca="false">SUM(E48:E50)</f>
        <v>101534881.952318</v>
      </c>
      <c r="F51" s="1" t="n">
        <f aca="false">SUM(F48:F50)</f>
        <v>101534881.952318</v>
      </c>
      <c r="G51" s="1" t="n">
        <f aca="false">SUM(G48:G50)</f>
        <v>101534881.952318</v>
      </c>
      <c r="H51" s="1" t="n">
        <f aca="false">SUM(H48:H50)</f>
        <v>101534881.952318</v>
      </c>
      <c r="I51" s="1" t="n">
        <f aca="false">SUM(I48:I50)</f>
        <v>101534881.952318</v>
      </c>
      <c r="J51" s="1" t="n">
        <f aca="false">SUM(J48:J50)</f>
        <v>101534881.952318</v>
      </c>
      <c r="K51" s="1" t="n">
        <f aca="false">SUM(K48:K50)</f>
        <v>101534881.952318</v>
      </c>
      <c r="L51" s="1" t="n">
        <f aca="false">SUM(L48:L50)</f>
        <v>81047359.4828331</v>
      </c>
      <c r="M51" s="1" t="n">
        <f aca="false">SUM(M48:M50)</f>
        <v>81047359.4828331</v>
      </c>
      <c r="N51" s="1" t="n">
        <f aca="false">SUM(N48:N50)</f>
        <v>81047359.4828331</v>
      </c>
      <c r="O51" s="1" t="n">
        <f aca="false">SUM(O48:O50)</f>
        <v>81047359.4828331</v>
      </c>
      <c r="P51" s="1" t="n">
        <f aca="false">SUM(P48:P50)</f>
        <v>81047359.4828331</v>
      </c>
    </row>
    <row r="52" customFormat="false" ht="14.25" hidden="false" customHeight="true" outlineLevel="0" collapsed="false">
      <c r="A52" s="1" t="s">
        <v>362</v>
      </c>
      <c r="E52" s="1" t="n">
        <f aca="false">SUM($E$51:E51)</f>
        <v>101534881.952318</v>
      </c>
      <c r="F52" s="1" t="n">
        <f aca="false">SUM($E$51:F51)</f>
        <v>203069763.904636</v>
      </c>
      <c r="G52" s="1" t="n">
        <f aca="false">SUM($E$51:G51)</f>
        <v>304604645.856954</v>
      </c>
      <c r="H52" s="1" t="n">
        <f aca="false">SUM($E$51:H51)</f>
        <v>406139527.809272</v>
      </c>
      <c r="I52" s="1" t="n">
        <f aca="false">SUM($E$51:I51)</f>
        <v>507674409.76159</v>
      </c>
      <c r="J52" s="1" t="n">
        <f aca="false">SUM($E$51:J51)</f>
        <v>609209291.713908</v>
      </c>
      <c r="K52" s="1" t="n">
        <f aca="false">SUM($E$51:K51)</f>
        <v>710744173.666225</v>
      </c>
      <c r="L52" s="1" t="n">
        <f aca="false">SUM($E$51:L51)</f>
        <v>791791533.149059</v>
      </c>
      <c r="M52" s="1" t="n">
        <f aca="false">SUM($E$51:M51)</f>
        <v>872838892.631892</v>
      </c>
      <c r="N52" s="1" t="n">
        <f aca="false">SUM($E$51:N51)</f>
        <v>953886252.114725</v>
      </c>
      <c r="O52" s="1" t="n">
        <f aca="false">SUM($E$51:O51)</f>
        <v>1034933611.59756</v>
      </c>
      <c r="P52" s="1" t="n">
        <f aca="false">SUM($E$51:P51)</f>
        <v>1115980971.08039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9" activeCellId="0" sqref="E19"/>
    </sheetView>
  </sheetViews>
  <sheetFormatPr defaultColWidth="8.6796875" defaultRowHeight="14.25" zeroHeight="false" outlineLevelRow="0" outlineLevelCol="0"/>
  <cols>
    <col collapsed="false" customWidth="true" hidden="false" outlineLevel="0" max="1" min="1" style="1" width="42"/>
    <col collapsed="false" customWidth="true" hidden="false" outlineLevel="0" max="11" min="5" style="1" width="11.27"/>
    <col collapsed="false" customWidth="true" hidden="false" outlineLevel="0" max="16" min="12" style="1" width="12.36"/>
  </cols>
  <sheetData>
    <row r="1" customFormat="false" ht="18" hidden="false" customHeight="true" outlineLevel="0" collapsed="false">
      <c r="A1" s="8" t="s">
        <v>363</v>
      </c>
    </row>
    <row r="2" customFormat="false" ht="14.25" hidden="false" customHeight="true" outlineLevel="0" collapsed="false">
      <c r="A2" s="4" t="s">
        <v>253</v>
      </c>
      <c r="E2" s="31" t="s">
        <v>257</v>
      </c>
      <c r="F2" s="31" t="s">
        <v>258</v>
      </c>
      <c r="G2" s="31" t="s">
        <v>259</v>
      </c>
      <c r="H2" s="31" t="s">
        <v>260</v>
      </c>
      <c r="I2" s="31" t="s">
        <v>261</v>
      </c>
      <c r="J2" s="31" t="s">
        <v>262</v>
      </c>
      <c r="K2" s="31" t="s">
        <v>263</v>
      </c>
      <c r="L2" s="31" t="s">
        <v>264</v>
      </c>
      <c r="M2" s="31" t="s">
        <v>265</v>
      </c>
      <c r="N2" s="31" t="s">
        <v>266</v>
      </c>
      <c r="O2" s="31" t="s">
        <v>267</v>
      </c>
      <c r="P2" s="31" t="s">
        <v>268</v>
      </c>
    </row>
    <row r="4" customFormat="false" ht="14.25" hidden="false" customHeight="true" outlineLevel="0" collapsed="false">
      <c r="A4" s="5" t="s">
        <v>364</v>
      </c>
      <c r="E4" s="21" t="n">
        <f aca="false">Revenue!E14</f>
        <v>597388695.652174</v>
      </c>
      <c r="F4" s="21" t="n">
        <f aca="false">Revenue!F14</f>
        <v>846300652.173913</v>
      </c>
      <c r="G4" s="21" t="n">
        <f aca="false">Revenue!G14</f>
        <v>1182331793.47826</v>
      </c>
      <c r="H4" s="21" t="n">
        <f aca="false">Revenue!H14</f>
        <v>1477914741.84783</v>
      </c>
      <c r="I4" s="21" t="n">
        <f aca="false">Revenue!I14</f>
        <v>1847393427.30978</v>
      </c>
      <c r="J4" s="21" t="n">
        <f aca="false">Revenue!J14</f>
        <v>2309241784.13723</v>
      </c>
      <c r="K4" s="21" t="n">
        <f aca="false">Revenue!K14</f>
        <v>2886552230.17154</v>
      </c>
      <c r="L4" s="21" t="n">
        <f aca="false">Revenue!L14</f>
        <v>3608190287.71442</v>
      </c>
      <c r="M4" s="21" t="n">
        <f aca="false">Revenue!M14</f>
        <v>4510237859.64302</v>
      </c>
      <c r="N4" s="21" t="n">
        <f aca="false">Revenue!N14</f>
        <v>5637797324.55378</v>
      </c>
      <c r="O4" s="21" t="n">
        <f aca="false">Revenue!O14</f>
        <v>7047246655.69222</v>
      </c>
      <c r="P4" s="21" t="n">
        <f aca="false">Revenue!P14</f>
        <v>8809058319.61528</v>
      </c>
    </row>
    <row r="5" customFormat="false" ht="14.25" hidden="false" customHeight="true" outlineLevel="0" collapsed="false">
      <c r="A5" s="5" t="s">
        <v>365</v>
      </c>
      <c r="E5" s="21" t="n">
        <f aca="false">Revenue!E18</f>
        <v>0</v>
      </c>
      <c r="F5" s="21" t="n">
        <f aca="false">Revenue!F18</f>
        <v>0</v>
      </c>
      <c r="G5" s="21" t="n">
        <f aca="false">Revenue!G18</f>
        <v>0</v>
      </c>
      <c r="H5" s="21" t="n">
        <f aca="false">Revenue!H18</f>
        <v>0</v>
      </c>
      <c r="I5" s="21" t="n">
        <f aca="false">Revenue!I18</f>
        <v>0</v>
      </c>
      <c r="J5" s="21" t="n">
        <f aca="false">Revenue!J18</f>
        <v>0</v>
      </c>
      <c r="K5" s="21" t="n">
        <f aca="false">Revenue!K18</f>
        <v>0</v>
      </c>
      <c r="L5" s="21" t="n">
        <f aca="false">Revenue!L18</f>
        <v>0</v>
      </c>
      <c r="M5" s="21" t="n">
        <f aca="false">Revenue!M18</f>
        <v>0</v>
      </c>
      <c r="N5" s="21" t="n">
        <f aca="false">Revenue!N18</f>
        <v>0</v>
      </c>
      <c r="O5" s="21" t="n">
        <f aca="false">Revenue!O18</f>
        <v>0</v>
      </c>
      <c r="P5" s="21" t="n">
        <f aca="false">Revenue!P18</f>
        <v>0</v>
      </c>
    </row>
    <row r="6" customFormat="false" ht="14.25" hidden="false" customHeight="true" outlineLevel="0" collapsed="false">
      <c r="A6" s="5" t="s">
        <v>366</v>
      </c>
      <c r="E6" s="21" t="n">
        <f aca="false">Revenue!E19</f>
        <v>1465043478.26087</v>
      </c>
      <c r="F6" s="21" t="n">
        <f aca="false">Revenue!F19</f>
        <v>0</v>
      </c>
      <c r="G6" s="21" t="n">
        <f aca="false">Revenue!G19</f>
        <v>0</v>
      </c>
      <c r="H6" s="21" t="n">
        <f aca="false">Revenue!H19</f>
        <v>0</v>
      </c>
      <c r="I6" s="21" t="n">
        <f aca="false">Revenue!I19</f>
        <v>0</v>
      </c>
      <c r="J6" s="21" t="n">
        <f aca="false">Revenue!J19</f>
        <v>0</v>
      </c>
      <c r="K6" s="21" t="n">
        <f aca="false">Revenue!K19</f>
        <v>0</v>
      </c>
      <c r="L6" s="21" t="n">
        <f aca="false">Revenue!L19</f>
        <v>0</v>
      </c>
      <c r="M6" s="21" t="n">
        <f aca="false">Revenue!M19</f>
        <v>0</v>
      </c>
      <c r="N6" s="21" t="n">
        <f aca="false">Revenue!N19</f>
        <v>0</v>
      </c>
      <c r="O6" s="21" t="n">
        <f aca="false">Revenue!O19</f>
        <v>0</v>
      </c>
      <c r="P6" s="21" t="n">
        <f aca="false">Revenue!P19</f>
        <v>0</v>
      </c>
    </row>
    <row r="7" customFormat="false" ht="14.25" hidden="false" customHeight="true" outlineLevel="0" collapsed="false">
      <c r="A7" s="5" t="s">
        <v>367</v>
      </c>
      <c r="E7" s="21" t="n">
        <f aca="false">Revenue!E21</f>
        <v>34735304.3478261</v>
      </c>
      <c r="F7" s="21" t="n">
        <f aca="false">Revenue!F21</f>
        <v>43361238.2608696</v>
      </c>
      <c r="G7" s="21" t="n">
        <f aca="false">Revenue!G21</f>
        <v>53024599.9304348</v>
      </c>
      <c r="H7" s="21" t="n">
        <f aca="false">Revenue!H21</f>
        <v>56736321.9255652</v>
      </c>
      <c r="I7" s="21" t="n">
        <f aca="false">Revenue!I21</f>
        <v>60707864.4603548</v>
      </c>
      <c r="J7" s="21" t="n">
        <f aca="false">Revenue!J21</f>
        <v>64957414.9725797</v>
      </c>
      <c r="K7" s="21" t="n">
        <f aca="false">Revenue!K21</f>
        <v>69504434.0206602</v>
      </c>
      <c r="L7" s="21" t="n">
        <f aca="false">Revenue!L21</f>
        <v>74369744.4021064</v>
      </c>
      <c r="M7" s="21" t="n">
        <f aca="false">Revenue!M21</f>
        <v>79575626.5102539</v>
      </c>
      <c r="N7" s="21" t="n">
        <f aca="false">Revenue!N21</f>
        <v>85145920.3659717</v>
      </c>
      <c r="O7" s="21" t="n">
        <f aca="false">Revenue!O21</f>
        <v>91106134.7915897</v>
      </c>
      <c r="P7" s="21" t="n">
        <f aca="false">Revenue!P21</f>
        <v>97483564.227001</v>
      </c>
    </row>
    <row r="8" customFormat="false" ht="14.25" hidden="false" customHeight="true" outlineLevel="0" collapsed="false">
      <c r="A8" s="5" t="s">
        <v>368</v>
      </c>
      <c r="E8" s="21" t="n">
        <f aca="false">Revenue!E22</f>
        <v>240000000</v>
      </c>
      <c r="F8" s="21" t="n">
        <f aca="false">Revenue!F22</f>
        <v>300000000</v>
      </c>
      <c r="G8" s="21" t="n">
        <f aca="false">Revenue!G22</f>
        <v>375000000</v>
      </c>
      <c r="H8" s="21" t="n">
        <f aca="false">Revenue!H22</f>
        <v>468750000</v>
      </c>
      <c r="I8" s="21" t="n">
        <f aca="false">Revenue!I22</f>
        <v>585937500</v>
      </c>
      <c r="J8" s="21" t="n">
        <f aca="false">Revenue!J22</f>
        <v>732421875</v>
      </c>
      <c r="K8" s="21" t="n">
        <f aca="false">Revenue!K22</f>
        <v>915527343.75</v>
      </c>
      <c r="L8" s="21" t="n">
        <f aca="false">Revenue!L22</f>
        <v>1144409179.6875</v>
      </c>
      <c r="M8" s="21" t="n">
        <f aca="false">Revenue!M22</f>
        <v>1430511474.60938</v>
      </c>
      <c r="N8" s="21" t="n">
        <f aca="false">Revenue!N22</f>
        <v>1788139343.26172</v>
      </c>
      <c r="O8" s="21" t="n">
        <f aca="false">Revenue!O22</f>
        <v>2235174179.07715</v>
      </c>
      <c r="P8" s="21" t="n">
        <f aca="false">Revenue!P22</f>
        <v>2793967723.84644</v>
      </c>
    </row>
    <row r="9" customFormat="false" ht="14.25" hidden="false" customHeight="true" outlineLevel="0" collapsed="false">
      <c r="A9" s="4" t="s">
        <v>369</v>
      </c>
      <c r="E9" s="22" t="n">
        <f aca="false">SUM(E4:E8)</f>
        <v>2337167478.26087</v>
      </c>
      <c r="F9" s="22" t="n">
        <f aca="false">SUM(F4:F8)</f>
        <v>1189661890.43478</v>
      </c>
      <c r="G9" s="22" t="n">
        <f aca="false">SUM(G4:G8)</f>
        <v>1610356393.4087</v>
      </c>
      <c r="H9" s="22" t="n">
        <f aca="false">SUM(H4:H8)</f>
        <v>2003401063.77339</v>
      </c>
      <c r="I9" s="22" t="n">
        <f aca="false">SUM(I4:I8)</f>
        <v>2494038791.77014</v>
      </c>
      <c r="J9" s="22" t="n">
        <f aca="false">SUM(J4:J8)</f>
        <v>3106621074.10981</v>
      </c>
      <c r="K9" s="22" t="n">
        <f aca="false">SUM(K4:K8)</f>
        <v>3871584007.9422</v>
      </c>
      <c r="L9" s="22" t="n">
        <f aca="false">SUM(L4:L8)</f>
        <v>4826969211.80403</v>
      </c>
      <c r="M9" s="22" t="n">
        <f aca="false">SUM(M4:M8)</f>
        <v>6020324960.76265</v>
      </c>
      <c r="N9" s="22" t="n">
        <f aca="false">SUM(N4:N8)</f>
        <v>7511082588.18147</v>
      </c>
      <c r="O9" s="22" t="n">
        <f aca="false">SUM(O4:O8)</f>
        <v>9373526969.56096</v>
      </c>
      <c r="P9" s="22" t="n">
        <f aca="false">SUM(P4:P8)</f>
        <v>11700509607.6887</v>
      </c>
    </row>
    <row r="10" customFormat="false" ht="14.25" hidden="false" customHeight="true" outlineLevel="0" collapsed="false">
      <c r="A10" s="5" t="s">
        <v>370</v>
      </c>
      <c r="E10" s="21" t="n">
        <f aca="false">IF(1=1,-INVENTORY_V,0)</f>
        <v>-873677724.282975</v>
      </c>
      <c r="F10" s="21" t="n">
        <f aca="false">IF(2=1,-INVENTORY_V,0)</f>
        <v>0</v>
      </c>
      <c r="G10" s="21" t="n">
        <f aca="false">IF(3=1,-INVENTORY_V,0)</f>
        <v>0</v>
      </c>
      <c r="H10" s="21" t="n">
        <f aca="false">IF(4=1,-INVENTORY_V,0)</f>
        <v>0</v>
      </c>
      <c r="I10" s="21" t="n">
        <f aca="false">IF(5=1,-INVENTORY_V,0)</f>
        <v>0</v>
      </c>
      <c r="J10" s="21" t="n">
        <f aca="false">IF(6=1,-INVENTORY_V,0)</f>
        <v>0</v>
      </c>
      <c r="K10" s="21" t="n">
        <f aca="false">IF(7=1,-INVENTORY_V,0)</f>
        <v>0</v>
      </c>
      <c r="L10" s="21" t="n">
        <f aca="false">IF(8=1,-INVENTORY_V,0)</f>
        <v>0</v>
      </c>
      <c r="M10" s="21" t="n">
        <f aca="false">IF(9=1,-INVENTORY_V,0)</f>
        <v>0</v>
      </c>
      <c r="N10" s="21" t="n">
        <f aca="false">IF(10=1,-INVENTORY_V,0)</f>
        <v>0</v>
      </c>
      <c r="O10" s="21" t="n">
        <f aca="false">IF(11=1,-INVENTORY_V,0)</f>
        <v>0</v>
      </c>
      <c r="P10" s="21" t="n">
        <f aca="false">IF(12=1,-INVENTORY_V,0)</f>
        <v>0</v>
      </c>
    </row>
    <row r="11" customFormat="false" ht="14.25" hidden="false" customHeight="true" outlineLevel="0" collapsed="false">
      <c r="A11" s="4" t="s">
        <v>371</v>
      </c>
      <c r="E11" s="22" t="n">
        <f aca="false">E9+E10</f>
        <v>1463489753.97789</v>
      </c>
      <c r="F11" s="22" t="n">
        <f aca="false">F9+F10</f>
        <v>1189661890.43478</v>
      </c>
      <c r="G11" s="22" t="n">
        <f aca="false">G9+G10</f>
        <v>1610356393.4087</v>
      </c>
      <c r="H11" s="22" t="n">
        <f aca="false">H9+H10</f>
        <v>2003401063.77339</v>
      </c>
      <c r="I11" s="22" t="n">
        <f aca="false">I9+I10</f>
        <v>2494038791.77014</v>
      </c>
      <c r="J11" s="22" t="n">
        <f aca="false">J9+J10</f>
        <v>3106621074.10981</v>
      </c>
      <c r="K11" s="22" t="n">
        <f aca="false">K9+K10</f>
        <v>3871584007.9422</v>
      </c>
      <c r="L11" s="22" t="n">
        <f aca="false">L9+L10</f>
        <v>4826969211.80403</v>
      </c>
      <c r="M11" s="22" t="n">
        <f aca="false">M9+M10</f>
        <v>6020324960.76265</v>
      </c>
      <c r="N11" s="22" t="n">
        <f aca="false">N9+N10</f>
        <v>7511082588.18147</v>
      </c>
      <c r="O11" s="22" t="n">
        <f aca="false">O9+O10</f>
        <v>9373526969.56096</v>
      </c>
      <c r="P11" s="22" t="n">
        <f aca="false">P9+P10</f>
        <v>11700509607.6887</v>
      </c>
    </row>
    <row r="12" customFormat="false" ht="14.25" hidden="false" customHeight="true" outlineLevel="0" collapsed="false">
      <c r="A12" s="5" t="s">
        <v>372</v>
      </c>
      <c r="E12" s="21" t="n">
        <f aca="false">-Opex!E14</f>
        <v>-476253295.57656</v>
      </c>
      <c r="F12" s="21" t="n">
        <f aca="false">-Opex!F14</f>
        <v>-337856037.682096</v>
      </c>
      <c r="G12" s="21" t="n">
        <f aca="false">-Opex!G14</f>
        <v>-407537201.882026</v>
      </c>
      <c r="H12" s="21" t="n">
        <f aca="false">-Opex!H14</f>
        <v>-473267934.558057</v>
      </c>
      <c r="I12" s="21" t="n">
        <f aca="false">-Opex!I14</f>
        <v>-553598583.802661</v>
      </c>
      <c r="J12" s="21" t="n">
        <f aca="false">-Opex!J14</f>
        <v>-652085734.253211</v>
      </c>
      <c r="K12" s="21" t="n">
        <f aca="false">-Opex!K14</f>
        <v>-773170324.048951</v>
      </c>
      <c r="L12" s="21" t="n">
        <f aca="false">-Opex!L14</f>
        <v>-922398484.968335</v>
      </c>
      <c r="M12" s="21" t="n">
        <f aca="false">-Opex!M14</f>
        <v>-1106697579.58643</v>
      </c>
      <c r="N12" s="21" t="n">
        <f aca="false">-Opex!N14</f>
        <v>-1334721234.01449</v>
      </c>
      <c r="O12" s="21" t="n">
        <f aca="false">-Opex!O14</f>
        <v>-1617280614.38685</v>
      </c>
      <c r="P12" s="21" t="n">
        <f aca="false">-Opex!P14</f>
        <v>-1967883507.26171</v>
      </c>
    </row>
    <row r="13" customFormat="false" ht="14.25" hidden="false" customHeight="true" outlineLevel="0" collapsed="false">
      <c r="A13" s="4" t="s">
        <v>373</v>
      </c>
      <c r="E13" s="28" t="n">
        <f aca="false">E11+E12</f>
        <v>987236458.401335</v>
      </c>
      <c r="F13" s="28" t="n">
        <f aca="false">F11+F12</f>
        <v>851805852.752687</v>
      </c>
      <c r="G13" s="28" t="n">
        <f aca="false">G11+G12</f>
        <v>1202819191.52667</v>
      </c>
      <c r="H13" s="28" t="n">
        <f aca="false">H11+H12</f>
        <v>1530133129.21533</v>
      </c>
      <c r="I13" s="28" t="n">
        <f aca="false">I11+I12</f>
        <v>1940440207.96748</v>
      </c>
      <c r="J13" s="28" t="n">
        <f aca="false">J11+J12</f>
        <v>2454535339.8566</v>
      </c>
      <c r="K13" s="28" t="n">
        <f aca="false">K11+K12</f>
        <v>3098413683.89325</v>
      </c>
      <c r="L13" s="28" t="n">
        <f aca="false">L11+L12</f>
        <v>3904570726.83569</v>
      </c>
      <c r="M13" s="28" t="n">
        <f aca="false">M11+M12</f>
        <v>4913627381.17623</v>
      </c>
      <c r="N13" s="28" t="n">
        <f aca="false">N11+N12</f>
        <v>6176361354.16698</v>
      </c>
      <c r="O13" s="28" t="n">
        <f aca="false">O11+O12</f>
        <v>7756246355.17411</v>
      </c>
      <c r="P13" s="28" t="n">
        <f aca="false">P11+P12</f>
        <v>9732626100.42701</v>
      </c>
    </row>
    <row r="14" customFormat="false" ht="14.25" hidden="false" customHeight="true" outlineLevel="0" collapsed="false">
      <c r="A14" s="5" t="s">
        <v>374</v>
      </c>
      <c r="E14" s="21" t="n">
        <f aca="false">-AssetSplit!E51</f>
        <v>-101534881.952318</v>
      </c>
      <c r="F14" s="21" t="n">
        <f aca="false">-AssetSplit!F51</f>
        <v>-101534881.952318</v>
      </c>
      <c r="G14" s="21" t="n">
        <f aca="false">-AssetSplit!G51</f>
        <v>-101534881.952318</v>
      </c>
      <c r="H14" s="21" t="n">
        <f aca="false">-AssetSplit!H51</f>
        <v>-101534881.952318</v>
      </c>
      <c r="I14" s="21" t="n">
        <f aca="false">-AssetSplit!I51</f>
        <v>-101534881.952318</v>
      </c>
      <c r="J14" s="21" t="n">
        <f aca="false">-AssetSplit!J51</f>
        <v>-101534881.952318</v>
      </c>
      <c r="K14" s="21" t="n">
        <f aca="false">-AssetSplit!K51</f>
        <v>-101534881.952318</v>
      </c>
      <c r="L14" s="21" t="n">
        <f aca="false">-AssetSplit!L51</f>
        <v>-81047359.4828331</v>
      </c>
      <c r="M14" s="21" t="n">
        <f aca="false">-AssetSplit!M51</f>
        <v>-81047359.4828331</v>
      </c>
      <c r="N14" s="21" t="n">
        <f aca="false">-AssetSplit!N51</f>
        <v>-81047359.4828331</v>
      </c>
      <c r="O14" s="21" t="n">
        <f aca="false">-AssetSplit!O51</f>
        <v>-81047359.4828331</v>
      </c>
      <c r="P14" s="21" t="n">
        <f aca="false">-AssetSplit!P51</f>
        <v>-81047359.4828331</v>
      </c>
    </row>
    <row r="15" customFormat="false" ht="14.25" hidden="false" customHeight="true" outlineLevel="0" collapsed="false">
      <c r="A15" s="4" t="s">
        <v>375</v>
      </c>
      <c r="E15" s="22" t="n">
        <f aca="false">E13+E14</f>
        <v>885701576.449017</v>
      </c>
      <c r="F15" s="22" t="n">
        <f aca="false">F13+F14</f>
        <v>750270970.800369</v>
      </c>
      <c r="G15" s="22" t="n">
        <f aca="false">G13+G14</f>
        <v>1101284309.57435</v>
      </c>
      <c r="H15" s="22" t="n">
        <f aca="false">H13+H14</f>
        <v>1428598247.26302</v>
      </c>
      <c r="I15" s="22" t="n">
        <f aca="false">I13+I14</f>
        <v>1838905326.01516</v>
      </c>
      <c r="J15" s="22" t="n">
        <f aca="false">J13+J14</f>
        <v>2353000457.90428</v>
      </c>
      <c r="K15" s="22" t="n">
        <f aca="false">K13+K14</f>
        <v>2996878801.94093</v>
      </c>
      <c r="L15" s="22" t="n">
        <f aca="false">L13+L14</f>
        <v>3823523367.35286</v>
      </c>
      <c r="M15" s="22" t="n">
        <f aca="false">M13+M14</f>
        <v>4832580021.6934</v>
      </c>
      <c r="N15" s="22" t="n">
        <f aca="false">N13+N14</f>
        <v>6095313994.68415</v>
      </c>
      <c r="O15" s="22" t="n">
        <f aca="false">O13+O14</f>
        <v>7675198995.69128</v>
      </c>
      <c r="P15" s="22" t="n">
        <f aca="false">P13+P14</f>
        <v>9651578740.94417</v>
      </c>
    </row>
    <row r="16" customFormat="false" ht="14.25" hidden="false" customHeight="true" outlineLevel="0" collapsed="false">
      <c r="A16" s="5" t="s">
        <v>376</v>
      </c>
      <c r="E16" s="21" t="n">
        <f aca="false">-Financing!E9</f>
        <v>-266189972.220813</v>
      </c>
      <c r="F16" s="21" t="n">
        <f aca="false">-Financing!F9</f>
        <v>-216601676.352554</v>
      </c>
      <c r="G16" s="21" t="n">
        <f aca="false">-Financing!G9</f>
        <v>-157095721.310644</v>
      </c>
      <c r="H16" s="21" t="n">
        <f aca="false">-Financing!H9</f>
        <v>-85688575.2603512</v>
      </c>
      <c r="I16" s="21" t="n">
        <f aca="false">-Financing!I9</f>
        <v>-0</v>
      </c>
      <c r="J16" s="21" t="n">
        <f aca="false">-Financing!J9</f>
        <v>-0</v>
      </c>
      <c r="K16" s="21" t="n">
        <f aca="false">-Financing!K9</f>
        <v>-0</v>
      </c>
      <c r="L16" s="21" t="n">
        <f aca="false">-Financing!L9</f>
        <v>-0</v>
      </c>
      <c r="M16" s="21" t="n">
        <f aca="false">-Financing!M9</f>
        <v>-0</v>
      </c>
      <c r="N16" s="21" t="n">
        <f aca="false">-Financing!N9</f>
        <v>-0</v>
      </c>
      <c r="O16" s="21" t="n">
        <f aca="false">-Financing!O9</f>
        <v>-0</v>
      </c>
      <c r="P16" s="21" t="n">
        <f aca="false">-Financing!P9</f>
        <v>-0</v>
      </c>
    </row>
    <row r="17" customFormat="false" ht="14.25" hidden="false" customHeight="true" outlineLevel="0" collapsed="false">
      <c r="A17" s="4" t="s">
        <v>377</v>
      </c>
      <c r="E17" s="22" t="n">
        <f aca="false">E15+E16</f>
        <v>619511604.228204</v>
      </c>
      <c r="F17" s="22" t="n">
        <f aca="false">F15+F16</f>
        <v>533669294.447815</v>
      </c>
      <c r="G17" s="22" t="n">
        <f aca="false">G15+G16</f>
        <v>944188588.263707</v>
      </c>
      <c r="H17" s="22" t="n">
        <f aca="false">H15+H16</f>
        <v>1342909672.00267</v>
      </c>
      <c r="I17" s="22" t="n">
        <f aca="false">I15+I16</f>
        <v>1838905326.01516</v>
      </c>
      <c r="J17" s="22" t="n">
        <f aca="false">J15+J16</f>
        <v>2353000457.90428</v>
      </c>
      <c r="K17" s="22" t="n">
        <f aca="false">K15+K16</f>
        <v>2996878801.94093</v>
      </c>
      <c r="L17" s="22" t="n">
        <f aca="false">L15+L16</f>
        <v>3823523367.35286</v>
      </c>
      <c r="M17" s="22" t="n">
        <f aca="false">M15+M16</f>
        <v>4832580021.6934</v>
      </c>
      <c r="N17" s="22" t="n">
        <f aca="false">N15+N16</f>
        <v>6095313994.68415</v>
      </c>
      <c r="O17" s="22" t="n">
        <f aca="false">O15+O16</f>
        <v>7675198995.69128</v>
      </c>
      <c r="P17" s="22" t="n">
        <f aca="false">P15+P16</f>
        <v>9651578740.94417</v>
      </c>
    </row>
    <row r="18" customFormat="false" ht="14.25" hidden="false" customHeight="true" outlineLevel="0" collapsed="false">
      <c r="A18" s="5" t="s">
        <v>378</v>
      </c>
      <c r="E18" s="21" t="n">
        <f aca="false">-Tax!E21</f>
        <v>-109738299.445028</v>
      </c>
      <c r="F18" s="21" t="n">
        <f aca="false">-Tax!F21</f>
        <v>-123128999.230132</v>
      </c>
      <c r="G18" s="21" t="n">
        <f aca="false">-Tax!G21</f>
        <v>-248799501.550277</v>
      </c>
      <c r="H18" s="21" t="n">
        <f aca="false">-Tax!H21</f>
        <v>-370427598.012266</v>
      </c>
      <c r="I18" s="21" t="n">
        <f aca="false">-Tax!I21</f>
        <v>-520835711.288255</v>
      </c>
      <c r="J18" s="21" t="n">
        <f aca="false">-Tax!J21</f>
        <v>-676351784.512785</v>
      </c>
      <c r="K18" s="21" t="n">
        <f aca="false">-Tax!K21</f>
        <v>-870545314.650014</v>
      </c>
      <c r="L18" s="21" t="n">
        <f aca="false">-Tax!L21</f>
        <v>-1113216449.07374</v>
      </c>
      <c r="M18" s="21" t="n">
        <f aca="false">-Tax!M21</f>
        <v>-1416592662.60869</v>
      </c>
      <c r="N18" s="21" t="n">
        <f aca="false">-Tax!N21</f>
        <v>-1795940228.29214</v>
      </c>
      <c r="O18" s="21" t="n">
        <f aca="false">-Tax!O21</f>
        <v>-2270327627.62327</v>
      </c>
      <c r="P18" s="21" t="n">
        <f aca="false">-Tax!P21</f>
        <v>-2863579070.42233</v>
      </c>
    </row>
    <row r="19" customFormat="false" ht="14.25" hidden="false" customHeight="true" outlineLevel="0" collapsed="false">
      <c r="A19" s="5" t="s">
        <v>379</v>
      </c>
      <c r="E19" s="21" t="n">
        <f aca="false">-Tax!E30</f>
        <v>-469599860.492011</v>
      </c>
      <c r="F19" s="21" t="n">
        <f aca="false">-Tax!F30</f>
        <v>-36971789.1042123</v>
      </c>
      <c r="G19" s="21" t="n">
        <f aca="false">-Tax!G30</f>
        <v>-34457074.9288352</v>
      </c>
      <c r="H19" s="21" t="n">
        <f aca="false">-Tax!H30</f>
        <v>-32445303.5885332</v>
      </c>
      <c r="I19" s="21" t="n">
        <f aca="false">-Tax!I30</f>
        <v>-30835886.5162921</v>
      </c>
      <c r="J19" s="21" t="n">
        <f aca="false">-Tax!J30</f>
        <v>-29548352.8584992</v>
      </c>
      <c r="K19" s="21" t="n">
        <f aca="false">-Tax!K30</f>
        <v>-28518325.9322644</v>
      </c>
      <c r="L19" s="21" t="n">
        <f aca="false">-Tax!L30</f>
        <v>-33840561.1321225</v>
      </c>
      <c r="M19" s="21" t="n">
        <f aca="false">-Tax!M30</f>
        <v>-33181343.8993322</v>
      </c>
      <c r="N19" s="21" t="n">
        <f aca="false">-Tax!N30</f>
        <v>-32653970.1131001</v>
      </c>
      <c r="O19" s="21" t="n">
        <f aca="false">-Tax!O30</f>
        <v>-32232071.0841148</v>
      </c>
      <c r="P19" s="21" t="n">
        <f aca="false">-Tax!P30</f>
        <v>-31894551.8609263</v>
      </c>
    </row>
    <row r="20" customFormat="false" ht="14.25" hidden="false" customHeight="true" outlineLevel="0" collapsed="false">
      <c r="A20" s="5" t="s">
        <v>380</v>
      </c>
      <c r="E20" s="21" t="n">
        <f aca="false">-Tax!E34</f>
        <v>-0</v>
      </c>
      <c r="F20" s="21" t="n">
        <f aca="false">-Tax!F34</f>
        <v>-0</v>
      </c>
      <c r="G20" s="21" t="n">
        <f aca="false">-Tax!G34</f>
        <v>-0</v>
      </c>
      <c r="H20" s="21" t="n">
        <f aca="false">-Tax!H34</f>
        <v>-0</v>
      </c>
      <c r="I20" s="21" t="n">
        <f aca="false">-Tax!I34</f>
        <v>-0</v>
      </c>
      <c r="J20" s="21" t="n">
        <f aca="false">-Tax!J34</f>
        <v>-0</v>
      </c>
      <c r="K20" s="21" t="n">
        <f aca="false">-Tax!K34</f>
        <v>-0</v>
      </c>
      <c r="L20" s="21" t="n">
        <f aca="false">-Tax!L34</f>
        <v>-0</v>
      </c>
      <c r="M20" s="21" t="n">
        <f aca="false">-Tax!M34</f>
        <v>-0</v>
      </c>
      <c r="N20" s="21" t="n">
        <f aca="false">-Tax!N34</f>
        <v>-0</v>
      </c>
      <c r="O20" s="21" t="n">
        <f aca="false">-Tax!O34</f>
        <v>-0</v>
      </c>
      <c r="P20" s="21" t="n">
        <f aca="false">-Tax!P34</f>
        <v>-0</v>
      </c>
    </row>
    <row r="21" customFormat="false" ht="14.25" hidden="false" customHeight="true" outlineLevel="0" collapsed="false">
      <c r="A21" s="4" t="s">
        <v>381</v>
      </c>
      <c r="E21" s="28" t="n">
        <f aca="false">E17+E18+E19+E20</f>
        <v>40173444.291166</v>
      </c>
      <c r="F21" s="28" t="n">
        <f aca="false">F17+F18+F19+F20</f>
        <v>373568506.11347</v>
      </c>
      <c r="G21" s="28" t="n">
        <f aca="false">G17+G18+G19+G20</f>
        <v>660932011.784595</v>
      </c>
      <c r="H21" s="28" t="n">
        <f aca="false">H17+H18+H19+H20</f>
        <v>940036770.401866</v>
      </c>
      <c r="I21" s="28" t="n">
        <f aca="false">I17+I18+I19+I20</f>
        <v>1287233728.21061</v>
      </c>
      <c r="J21" s="28" t="n">
        <f aca="false">J17+J18+J19+J20</f>
        <v>1647100320.533</v>
      </c>
      <c r="K21" s="28" t="n">
        <f aca="false">K17+K18+K19+K20</f>
        <v>2097815161.35865</v>
      </c>
      <c r="L21" s="28" t="n">
        <f aca="false">L17+L18+L19+L20</f>
        <v>2676466357.147</v>
      </c>
      <c r="M21" s="28" t="n">
        <f aca="false">M17+M18+M19+M20</f>
        <v>3382806015.18538</v>
      </c>
      <c r="N21" s="28" t="n">
        <f aca="false">N17+N18+N19+N20</f>
        <v>4266719796.27891</v>
      </c>
      <c r="O21" s="28" t="n">
        <f aca="false">O17+O18+O19+O20</f>
        <v>5372639296.98389</v>
      </c>
      <c r="P21" s="28" t="n">
        <f aca="false">P17+P18+P19+P20</f>
        <v>6756105118.66092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4"/>
  <sheetViews>
    <sheetView showFormulas="false" showGridLines="false" showRowColHeaders="true" showZeros="true" rightToLeft="false" tabSelected="false" showOutlineSymbols="true" defaultGridColor="true" view="normal" topLeftCell="A12" colorId="64" zoomScale="100" zoomScaleNormal="100" zoomScalePageLayoutView="100" workbookViewId="0">
      <selection pane="topLeft" activeCell="D17" activeCellId="0" sqref="D17"/>
    </sheetView>
  </sheetViews>
  <sheetFormatPr defaultColWidth="8.6796875" defaultRowHeight="14.25" zeroHeight="false" outlineLevelRow="0" outlineLevelCol="0"/>
  <cols>
    <col collapsed="false" customWidth="true" hidden="false" outlineLevel="0" max="1" min="1" style="1" width="42"/>
    <col collapsed="false" customWidth="true" hidden="false" outlineLevel="0" max="16" min="5" style="1" width="11.27"/>
  </cols>
  <sheetData>
    <row r="1" customFormat="false" ht="18" hidden="false" customHeight="true" outlineLevel="0" collapsed="false">
      <c r="A1" s="8" t="s">
        <v>382</v>
      </c>
    </row>
    <row r="2" customFormat="false" ht="14.25" hidden="false" customHeight="true" outlineLevel="0" collapsed="false">
      <c r="A2" s="4" t="s">
        <v>253</v>
      </c>
      <c r="E2" s="31" t="s">
        <v>257</v>
      </c>
      <c r="F2" s="31" t="s">
        <v>258</v>
      </c>
      <c r="G2" s="31" t="s">
        <v>259</v>
      </c>
      <c r="H2" s="31" t="s">
        <v>260</v>
      </c>
      <c r="I2" s="31" t="s">
        <v>261</v>
      </c>
      <c r="J2" s="31" t="s">
        <v>262</v>
      </c>
      <c r="K2" s="31" t="s">
        <v>263</v>
      </c>
      <c r="L2" s="31" t="s">
        <v>264</v>
      </c>
      <c r="M2" s="31" t="s">
        <v>265</v>
      </c>
      <c r="N2" s="31" t="s">
        <v>266</v>
      </c>
      <c r="O2" s="31" t="s">
        <v>267</v>
      </c>
      <c r="P2" s="31" t="s">
        <v>268</v>
      </c>
    </row>
    <row r="4" customFormat="false" ht="14.25" hidden="false" customHeight="true" outlineLevel="0" collapsed="false">
      <c r="A4" s="5" t="s">
        <v>383</v>
      </c>
      <c r="E4" s="21" t="n">
        <f aca="false">PL!E17</f>
        <v>619511604.228204</v>
      </c>
      <c r="F4" s="21" t="n">
        <f aca="false">PL!F17</f>
        <v>533669294.447815</v>
      </c>
      <c r="G4" s="21" t="n">
        <f aca="false">PL!G17</f>
        <v>944188588.263707</v>
      </c>
      <c r="H4" s="21" t="n">
        <f aca="false">PL!H17</f>
        <v>1342909672.00267</v>
      </c>
      <c r="I4" s="21" t="n">
        <f aca="false">PL!I17</f>
        <v>1838905326.01516</v>
      </c>
      <c r="J4" s="21" t="n">
        <f aca="false">PL!J17</f>
        <v>2353000457.90428</v>
      </c>
      <c r="K4" s="21" t="n">
        <f aca="false">PL!K17</f>
        <v>2996878801.94093</v>
      </c>
      <c r="L4" s="21" t="n">
        <f aca="false">PL!L17</f>
        <v>3823523367.35286</v>
      </c>
      <c r="M4" s="21" t="n">
        <f aca="false">PL!M17</f>
        <v>4832580021.6934</v>
      </c>
      <c r="N4" s="21" t="n">
        <f aca="false">PL!N17</f>
        <v>6095313994.68415</v>
      </c>
      <c r="O4" s="21" t="n">
        <f aca="false">PL!O17</f>
        <v>7675198995.69128</v>
      </c>
      <c r="P4" s="21" t="n">
        <f aca="false">PL!P17</f>
        <v>9651578740.94417</v>
      </c>
    </row>
    <row r="5" customFormat="false" ht="14.25" hidden="false" customHeight="true" outlineLevel="0" collapsed="false">
      <c r="A5" s="5" t="s">
        <v>384</v>
      </c>
      <c r="E5" s="21" t="n">
        <f aca="false">-PL!E14</f>
        <v>101534881.952318</v>
      </c>
      <c r="F5" s="21" t="n">
        <f aca="false">-PL!F14</f>
        <v>101534881.952318</v>
      </c>
      <c r="G5" s="21" t="n">
        <f aca="false">-PL!G14</f>
        <v>101534881.952318</v>
      </c>
      <c r="H5" s="21" t="n">
        <f aca="false">-PL!H14</f>
        <v>101534881.952318</v>
      </c>
      <c r="I5" s="21" t="n">
        <f aca="false">-PL!I14</f>
        <v>101534881.952318</v>
      </c>
      <c r="J5" s="21" t="n">
        <f aca="false">-PL!J14</f>
        <v>101534881.952318</v>
      </c>
      <c r="K5" s="21" t="n">
        <f aca="false">-PL!K14</f>
        <v>101534881.952318</v>
      </c>
      <c r="L5" s="21" t="n">
        <f aca="false">-PL!L14</f>
        <v>81047359.4828331</v>
      </c>
      <c r="M5" s="21" t="n">
        <f aca="false">-PL!M14</f>
        <v>81047359.4828331</v>
      </c>
      <c r="N5" s="21" t="n">
        <f aca="false">-PL!N14</f>
        <v>81047359.4828331</v>
      </c>
      <c r="O5" s="21" t="n">
        <f aca="false">-PL!O14</f>
        <v>81047359.4828331</v>
      </c>
      <c r="P5" s="21" t="n">
        <f aca="false">-PL!P14</f>
        <v>81047359.4828331</v>
      </c>
    </row>
    <row r="6" customFormat="false" ht="14.25" hidden="false" customHeight="true" outlineLevel="0" collapsed="false">
      <c r="A6" s="5" t="s">
        <v>385</v>
      </c>
      <c r="E6" s="21" t="n">
        <f aca="false">-MIN(TAX_DEP_AN_BLDG,MAX(TAX_BASE_BLDG-TAX_DEP_AN_BLDG*0,0))</f>
        <v>-182862276.043407</v>
      </c>
      <c r="F6" s="21" t="n">
        <f aca="false">-MIN(TAX_DEP_AN_BLDG,MAX(TAX_BASE_BLDG-TAX_DEP_AN_BLDG*1,0))</f>
        <v>-182862276.043407</v>
      </c>
      <c r="G6" s="21" t="n">
        <f aca="false">-MIN(TAX_DEP_AN_BLDG,MAX(TAX_BASE_BLDG-TAX_DEP_AN_BLDG*2,0))</f>
        <v>-182862276.043407</v>
      </c>
      <c r="H6" s="21" t="n">
        <f aca="false">-MIN(TAX_DEP_AN_BLDG,MAX(TAX_BASE_BLDG-TAX_DEP_AN_BLDG*3,0))</f>
        <v>-182862276.043407</v>
      </c>
      <c r="I6" s="21" t="n">
        <f aca="false">-MIN(TAX_DEP_AN_BLDG,MAX(TAX_BASE_BLDG-TAX_DEP_AN_BLDG*4,0))</f>
        <v>-182862276.043407</v>
      </c>
      <c r="J6" s="21" t="n">
        <f aca="false">-MIN(TAX_DEP_AN_BLDG,MAX(TAX_BASE_BLDG-TAX_DEP_AN_BLDG*5,0))</f>
        <v>-182862276.043407</v>
      </c>
      <c r="K6" s="21" t="n">
        <f aca="false">-MIN(TAX_DEP_AN_BLDG,MAX(TAX_BASE_BLDG-TAX_DEP_AN_BLDG*6,0))</f>
        <v>-182862276.043407</v>
      </c>
      <c r="L6" s="21" t="n">
        <f aca="false">-MIN(TAX_DEP_AN_BLDG,MAX(TAX_BASE_BLDG-TAX_DEP_AN_BLDG*7,0))</f>
        <v>-182862276.043407</v>
      </c>
      <c r="M6" s="21" t="n">
        <f aca="false">-MIN(TAX_DEP_AN_BLDG,MAX(TAX_BASE_BLDG-TAX_DEP_AN_BLDG*8,0))</f>
        <v>-182862276.043407</v>
      </c>
      <c r="N6" s="21" t="n">
        <f aca="false">-MIN(TAX_DEP_AN_BLDG,MAX(TAX_BASE_BLDG-TAX_DEP_AN_BLDG*9,0))</f>
        <v>-182862276.043407</v>
      </c>
      <c r="O6" s="21" t="n">
        <f aca="false">-MIN(TAX_DEP_AN_BLDG,MAX(TAX_BASE_BLDG-TAX_DEP_AN_BLDG*10,0))</f>
        <v>-182862276.043407</v>
      </c>
      <c r="P6" s="21" t="n">
        <f aca="false">-MIN(TAX_DEP_AN_BLDG,MAX(TAX_BASE_BLDG-TAX_DEP_AN_BLDG*11,0))</f>
        <v>-182862276.043407</v>
      </c>
    </row>
    <row r="7" customFormat="false" ht="14.25" hidden="false" customHeight="true" outlineLevel="0" collapsed="false">
      <c r="A7" s="5" t="s">
        <v>386</v>
      </c>
      <c r="E7" s="21" t="n">
        <f aca="false">-TAX_BASE_PLANT*(1-TAX_DEP_PLANT)^0*TAX_DEP_PLANT</f>
        <v>-52389878.6536899</v>
      </c>
      <c r="F7" s="21" t="n">
        <f aca="false">-TAX_BASE_PLANT*(1-TAX_DEP_PLANT)^1*TAX_DEP_PLANT</f>
        <v>-41911902.9229519</v>
      </c>
      <c r="G7" s="21" t="n">
        <f aca="false">-TAX_BASE_PLANT*(1-TAX_DEP_PLANT)^2*TAX_DEP_PLANT</f>
        <v>-33529522.3383615</v>
      </c>
      <c r="H7" s="21" t="n">
        <f aca="false">-TAX_BASE_PLANT*(1-TAX_DEP_PLANT)^3*TAX_DEP_PLANT</f>
        <v>-26823617.8706892</v>
      </c>
      <c r="I7" s="21" t="n">
        <f aca="false">-TAX_BASE_PLANT*(1-TAX_DEP_PLANT)^4*TAX_DEP_PLANT</f>
        <v>-21458894.2965514</v>
      </c>
      <c r="J7" s="21" t="n">
        <f aca="false">-TAX_BASE_PLANT*(1-TAX_DEP_PLANT)^5*TAX_DEP_PLANT</f>
        <v>-17167115.4372411</v>
      </c>
      <c r="K7" s="21" t="n">
        <f aca="false">-TAX_BASE_PLANT*(1-TAX_DEP_PLANT)^6*TAX_DEP_PLANT</f>
        <v>-13733692.3497929</v>
      </c>
      <c r="L7" s="21" t="n">
        <f aca="false">-TAX_BASE_PLANT*(1-TAX_DEP_PLANT)^7*TAX_DEP_PLANT</f>
        <v>-10986953.8798343</v>
      </c>
      <c r="M7" s="21" t="n">
        <f aca="false">-TAX_BASE_PLANT*(1-TAX_DEP_PLANT)^8*TAX_DEP_PLANT</f>
        <v>-8789563.10386745</v>
      </c>
      <c r="N7" s="21" t="n">
        <f aca="false">-TAX_BASE_PLANT*(1-TAX_DEP_PLANT)^9*TAX_DEP_PLANT</f>
        <v>-7031650.48309396</v>
      </c>
      <c r="O7" s="21" t="n">
        <f aca="false">-TAX_BASE_PLANT*(1-TAX_DEP_PLANT)^10*TAX_DEP_PLANT</f>
        <v>-5625320.38647517</v>
      </c>
      <c r="P7" s="21" t="n">
        <f aca="false">-TAX_BASE_PLANT*(1-TAX_DEP_PLANT)^11*TAX_DEP_PLANT</f>
        <v>-4500256.30918014</v>
      </c>
    </row>
    <row r="8" customFormat="false" ht="14.25" hidden="false" customHeight="true" outlineLevel="0" collapsed="false">
      <c r="A8" s="4" t="s">
        <v>387</v>
      </c>
      <c r="E8" s="22" t="n">
        <f aca="false">E6+E7</f>
        <v>-235252154.697097</v>
      </c>
      <c r="F8" s="22" t="n">
        <f aca="false">F6+F7</f>
        <v>-224774178.966359</v>
      </c>
      <c r="G8" s="22" t="n">
        <f aca="false">G6+G7</f>
        <v>-216391798.381768</v>
      </c>
      <c r="H8" s="22" t="n">
        <f aca="false">H6+H7</f>
        <v>-209685893.914096</v>
      </c>
      <c r="I8" s="22" t="n">
        <f aca="false">I6+I7</f>
        <v>-204321170.339958</v>
      </c>
      <c r="J8" s="22" t="n">
        <f aca="false">J6+J7</f>
        <v>-200029391.480648</v>
      </c>
      <c r="K8" s="22" t="n">
        <f aca="false">K6+K7</f>
        <v>-196595968.3932</v>
      </c>
      <c r="L8" s="22" t="n">
        <f aca="false">L6+L7</f>
        <v>-193849229.923241</v>
      </c>
      <c r="M8" s="22" t="n">
        <f aca="false">M6+M7</f>
        <v>-191651839.147274</v>
      </c>
      <c r="N8" s="22" t="n">
        <f aca="false">N6+N7</f>
        <v>-189893926.526501</v>
      </c>
      <c r="O8" s="22" t="n">
        <f aca="false">O6+O7</f>
        <v>-188487596.429882</v>
      </c>
      <c r="P8" s="22" t="n">
        <f aca="false">P6+P7</f>
        <v>-187362532.352587</v>
      </c>
    </row>
    <row r="9" customFormat="false" ht="14.25" hidden="false" customHeight="true" outlineLevel="0" collapsed="false">
      <c r="A9" s="4" t="s">
        <v>388</v>
      </c>
      <c r="E9" s="22" t="n">
        <f aca="false">E4+E5+E8</f>
        <v>485794331.483425</v>
      </c>
      <c r="F9" s="22" t="n">
        <f aca="false">F4+F5+F8</f>
        <v>410429997.433774</v>
      </c>
      <c r="G9" s="22" t="n">
        <f aca="false">G4+G5+G8</f>
        <v>829331671.834257</v>
      </c>
      <c r="H9" s="22" t="n">
        <f aca="false">H4+H5+H8</f>
        <v>1234758660.04089</v>
      </c>
      <c r="I9" s="22" t="n">
        <f aca="false">I4+I5+I8</f>
        <v>1736119037.62752</v>
      </c>
      <c r="J9" s="22" t="n">
        <f aca="false">J4+J5+J8</f>
        <v>2254505948.37595</v>
      </c>
      <c r="K9" s="22" t="n">
        <f aca="false">K4+K5+K8</f>
        <v>2901817715.50005</v>
      </c>
      <c r="L9" s="22" t="n">
        <f aca="false">L4+L5+L8</f>
        <v>3710721496.91245</v>
      </c>
      <c r="M9" s="22" t="n">
        <f aca="false">M4+M5+M8</f>
        <v>4721975542.02895</v>
      </c>
      <c r="N9" s="22" t="n">
        <f aca="false">N4+N5+N8</f>
        <v>5986467427.64048</v>
      </c>
      <c r="O9" s="22" t="n">
        <f aca="false">O4+O5+O8</f>
        <v>7567758758.74423</v>
      </c>
      <c r="P9" s="22" t="n">
        <f aca="false">P4+P5+P8</f>
        <v>9545263568.07442</v>
      </c>
    </row>
    <row r="10" customFormat="false" ht="14.25" hidden="false" customHeight="true" outlineLevel="0" collapsed="false">
      <c r="A10" s="5" t="s">
        <v>389</v>
      </c>
      <c r="E10" s="21" t="n">
        <f aca="false">MAX(-E9,0)</f>
        <v>0</v>
      </c>
      <c r="F10" s="21" t="n">
        <f aca="false">MAX(-F9,0)</f>
        <v>0</v>
      </c>
      <c r="G10" s="21" t="n">
        <f aca="false">MAX(-G9,0)</f>
        <v>0</v>
      </c>
      <c r="H10" s="21" t="n">
        <f aca="false">MAX(-H9,0)</f>
        <v>0</v>
      </c>
      <c r="I10" s="21" t="n">
        <f aca="false">MAX(-I9,0)</f>
        <v>0</v>
      </c>
      <c r="J10" s="21" t="n">
        <f aca="false">MAX(-J9,0)</f>
        <v>0</v>
      </c>
      <c r="K10" s="21" t="n">
        <f aca="false">MAX(-K9,0)</f>
        <v>0</v>
      </c>
      <c r="L10" s="21" t="n">
        <f aca="false">MAX(-L9,0)</f>
        <v>0</v>
      </c>
      <c r="M10" s="21" t="n">
        <f aca="false">MAX(-M9,0)</f>
        <v>0</v>
      </c>
      <c r="N10" s="21" t="n">
        <f aca="false">MAX(-N9,0)</f>
        <v>0</v>
      </c>
      <c r="O10" s="21" t="n">
        <f aca="false">MAX(-O9,0)</f>
        <v>0</v>
      </c>
      <c r="P10" s="21" t="n">
        <f aca="false">MAX(-P9,0)</f>
        <v>0</v>
      </c>
    </row>
    <row r="11" customFormat="false" ht="14.25" hidden="false" customHeight="true" outlineLevel="0" collapsed="false">
      <c r="A11" s="5" t="s">
        <v>390</v>
      </c>
      <c r="E11" s="21" t="n">
        <f aca="false">MAX(E9,0)</f>
        <v>485794331.483425</v>
      </c>
      <c r="F11" s="21" t="n">
        <f aca="false">MAX(F9,0)</f>
        <v>410429997.433774</v>
      </c>
      <c r="G11" s="21" t="n">
        <f aca="false">MAX(G9,0)</f>
        <v>829331671.834257</v>
      </c>
      <c r="H11" s="21" t="n">
        <f aca="false">MAX(H9,0)</f>
        <v>1234758660.04089</v>
      </c>
      <c r="I11" s="21" t="n">
        <f aca="false">MAX(I9,0)</f>
        <v>1736119037.62752</v>
      </c>
      <c r="J11" s="21" t="n">
        <f aca="false">MAX(J9,0)</f>
        <v>2254505948.37595</v>
      </c>
      <c r="K11" s="21" t="n">
        <f aca="false">MAX(K9,0)</f>
        <v>2901817715.50005</v>
      </c>
      <c r="L11" s="21" t="n">
        <f aca="false">MAX(L9,0)</f>
        <v>3710721496.91245</v>
      </c>
      <c r="M11" s="21" t="n">
        <f aca="false">MAX(M9,0)</f>
        <v>4721975542.02895</v>
      </c>
      <c r="N11" s="21" t="n">
        <f aca="false">MAX(N9,0)</f>
        <v>5986467427.64048</v>
      </c>
      <c r="O11" s="21" t="n">
        <f aca="false">MAX(O9,0)</f>
        <v>7567758758.74423</v>
      </c>
      <c r="P11" s="21" t="n">
        <f aca="false">MAX(P9,0)</f>
        <v>9545263568.07442</v>
      </c>
    </row>
    <row r="12" customFormat="false" ht="14.25" hidden="false" customHeight="true" outlineLevel="0" collapsed="false">
      <c r="A12" s="5" t="s">
        <v>391</v>
      </c>
      <c r="E12" s="21" t="n">
        <f aca="false">(PREOPEN)-MIN(PREOPEN,E15)</f>
        <v>0</v>
      </c>
      <c r="F12" s="21" t="n">
        <f aca="false">(E10)-MIN(E10,F15)</f>
        <v>0</v>
      </c>
      <c r="G12" s="21" t="n">
        <f aca="false">(F10)-MIN(F10,G15)</f>
        <v>0</v>
      </c>
      <c r="H12" s="21" t="n">
        <f aca="false">(G10)-MIN(G10,H15)</f>
        <v>0</v>
      </c>
      <c r="I12" s="21" t="n">
        <f aca="false">(H10)-MIN(H10,I15)</f>
        <v>0</v>
      </c>
      <c r="J12" s="21" t="n">
        <f aca="false">(I10)-MIN(I10,J15)</f>
        <v>0</v>
      </c>
      <c r="K12" s="21" t="n">
        <f aca="false">(J10)-MIN(J10,K15)</f>
        <v>0</v>
      </c>
      <c r="L12" s="21" t="n">
        <f aca="false">(K10)-MIN(K10,L15)</f>
        <v>0</v>
      </c>
      <c r="M12" s="21" t="n">
        <f aca="false">(L10)-MIN(L10,M15)</f>
        <v>0</v>
      </c>
      <c r="N12" s="21" t="n">
        <f aca="false">(M10)-MIN(M10,N15)</f>
        <v>0</v>
      </c>
      <c r="O12" s="21" t="n">
        <f aca="false">(N10)-MIN(N10,O15)</f>
        <v>0</v>
      </c>
      <c r="P12" s="21" t="n">
        <f aca="false">(O10)-MIN(O10,P15)</f>
        <v>0</v>
      </c>
    </row>
    <row r="13" customFormat="false" ht="14.25" hidden="false" customHeight="true" outlineLevel="0" collapsed="false">
      <c r="A13" s="5" t="s">
        <v>392</v>
      </c>
      <c r="E13" s="21" t="n">
        <f aca="false">E15-((PREOPEN)-E12)</f>
        <v>365794331.483425</v>
      </c>
      <c r="F13" s="21" t="n">
        <f aca="false">F15-((E10)-F12)</f>
        <v>410429997.433774</v>
      </c>
      <c r="G13" s="21" t="n">
        <f aca="false">G15-((F10)-G12)</f>
        <v>829331671.834257</v>
      </c>
      <c r="H13" s="21" t="n">
        <f aca="false">H15-((G10)-H12)</f>
        <v>1234758660.04089</v>
      </c>
      <c r="I13" s="21" t="n">
        <f aca="false">I15-((H10)-I12)</f>
        <v>1736119037.62752</v>
      </c>
      <c r="J13" s="21" t="n">
        <f aca="false">J15-((I10)-J12)</f>
        <v>2254505948.37595</v>
      </c>
      <c r="K13" s="21" t="n">
        <f aca="false">K15-((J10)-K12)</f>
        <v>2901817715.50005</v>
      </c>
      <c r="L13" s="21" t="n">
        <f aca="false">L15-((K10)-L12)</f>
        <v>3710721496.91245</v>
      </c>
      <c r="M13" s="21" t="n">
        <f aca="false">M15-((L10)-M12)</f>
        <v>4721975542.02895</v>
      </c>
      <c r="N13" s="21" t="n">
        <f aca="false">N15-((M10)-N12)</f>
        <v>5986467427.64048</v>
      </c>
      <c r="O13" s="21" t="n">
        <f aca="false">O15-((N10)-O12)</f>
        <v>7567758758.74423</v>
      </c>
      <c r="P13" s="21" t="n">
        <f aca="false">P15-((O10)-P12)</f>
        <v>9545263568.07442</v>
      </c>
    </row>
    <row r="14" customFormat="false" ht="14.25" hidden="false" customHeight="true" outlineLevel="0" collapsed="false">
      <c r="A14" s="5" t="s">
        <v>393</v>
      </c>
      <c r="E14" s="21" t="n">
        <f aca="false">(0)-MIN(0,E17)</f>
        <v>0</v>
      </c>
      <c r="F14" s="21" t="n">
        <f aca="false">(E12)-MIN(E12,F17)</f>
        <v>0</v>
      </c>
      <c r="G14" s="21" t="n">
        <f aca="false">(F12)-MIN(F12,G17)</f>
        <v>0</v>
      </c>
      <c r="H14" s="21" t="n">
        <f aca="false">(G12)-MIN(G12,H17)</f>
        <v>0</v>
      </c>
      <c r="I14" s="21" t="n">
        <f aca="false">(H12)-MIN(H12,I17)</f>
        <v>0</v>
      </c>
      <c r="J14" s="21" t="n">
        <f aca="false">(I12)-MIN(I12,J17)</f>
        <v>0</v>
      </c>
      <c r="K14" s="21" t="n">
        <f aca="false">(J12)-MIN(J12,K17)</f>
        <v>0</v>
      </c>
      <c r="L14" s="21" t="n">
        <f aca="false">(K12)-MIN(K12,L17)</f>
        <v>0</v>
      </c>
      <c r="M14" s="21" t="n">
        <f aca="false">(L12)-MIN(L12,M17)</f>
        <v>0</v>
      </c>
      <c r="N14" s="21" t="n">
        <f aca="false">(M12)-MIN(M12,N17)</f>
        <v>0</v>
      </c>
      <c r="O14" s="21" t="n">
        <f aca="false">(N12)-MIN(N12,O17)</f>
        <v>0</v>
      </c>
      <c r="P14" s="21" t="n">
        <f aca="false">(O12)-MIN(O12,P17)</f>
        <v>0</v>
      </c>
    </row>
    <row r="15" customFormat="false" ht="14.25" hidden="false" customHeight="true" outlineLevel="0" collapsed="false">
      <c r="A15" s="5" t="s">
        <v>394</v>
      </c>
      <c r="E15" s="21" t="n">
        <f aca="false">E17-((0)-E14)</f>
        <v>485794331.483425</v>
      </c>
      <c r="F15" s="21" t="n">
        <f aca="false">F17-((E12)-F14)</f>
        <v>410429997.433774</v>
      </c>
      <c r="G15" s="21" t="n">
        <f aca="false">G17-((F12)-G14)</f>
        <v>829331671.834257</v>
      </c>
      <c r="H15" s="21" t="n">
        <f aca="false">H17-((G12)-H14)</f>
        <v>1234758660.04089</v>
      </c>
      <c r="I15" s="21" t="n">
        <f aca="false">I17-((H12)-I14)</f>
        <v>1736119037.62752</v>
      </c>
      <c r="J15" s="21" t="n">
        <f aca="false">J17-((I12)-J14)</f>
        <v>2254505948.37595</v>
      </c>
      <c r="K15" s="21" t="n">
        <f aca="false">K17-((J12)-K14)</f>
        <v>2901817715.50005</v>
      </c>
      <c r="L15" s="21" t="n">
        <f aca="false">L17-((K12)-L14)</f>
        <v>3710721496.91245</v>
      </c>
      <c r="M15" s="21" t="n">
        <f aca="false">M17-((L12)-M14)</f>
        <v>4721975542.02895</v>
      </c>
      <c r="N15" s="21" t="n">
        <f aca="false">N17-((M12)-N14)</f>
        <v>5986467427.64048</v>
      </c>
      <c r="O15" s="21" t="n">
        <f aca="false">O17-((N12)-O14)</f>
        <v>7567758758.74423</v>
      </c>
      <c r="P15" s="21" t="n">
        <f aca="false">P17-((O12)-P14)</f>
        <v>9545263568.07442</v>
      </c>
    </row>
    <row r="16" customFormat="false" ht="14.25" hidden="false" customHeight="true" outlineLevel="0" collapsed="false">
      <c r="A16" s="5" t="s">
        <v>395</v>
      </c>
      <c r="E16" s="21" t="n">
        <f aca="false">(0)-MIN(0,E19)</f>
        <v>0</v>
      </c>
      <c r="F16" s="21" t="n">
        <f aca="false">(E14)-MIN(E14,F19)</f>
        <v>0</v>
      </c>
      <c r="G16" s="21" t="n">
        <f aca="false">(F14)-MIN(F14,G19)</f>
        <v>0</v>
      </c>
      <c r="H16" s="21" t="n">
        <f aca="false">(G14)-MIN(G14,H19)</f>
        <v>0</v>
      </c>
      <c r="I16" s="21" t="n">
        <f aca="false">(H14)-MIN(H14,I19)</f>
        <v>0</v>
      </c>
      <c r="J16" s="21" t="n">
        <f aca="false">(I14)-MIN(I14,J19)</f>
        <v>0</v>
      </c>
      <c r="K16" s="21" t="n">
        <f aca="false">(J14)-MIN(J14,K19)</f>
        <v>0</v>
      </c>
      <c r="L16" s="21" t="n">
        <f aca="false">(K14)-MIN(K14,L19)</f>
        <v>0</v>
      </c>
      <c r="M16" s="21" t="n">
        <f aca="false">(L14)-MIN(L14,M19)</f>
        <v>0</v>
      </c>
      <c r="N16" s="21" t="n">
        <f aca="false">(M14)-MIN(M14,N19)</f>
        <v>0</v>
      </c>
      <c r="O16" s="21" t="n">
        <f aca="false">(N14)-MIN(N14,O19)</f>
        <v>0</v>
      </c>
      <c r="P16" s="21" t="n">
        <f aca="false">(O14)-MIN(O14,P19)</f>
        <v>0</v>
      </c>
    </row>
    <row r="17" customFormat="false" ht="14.25" hidden="false" customHeight="true" outlineLevel="0" collapsed="false">
      <c r="A17" s="5" t="s">
        <v>396</v>
      </c>
      <c r="E17" s="21" t="n">
        <f aca="false">E19-((0)-E16)</f>
        <v>485794331.483425</v>
      </c>
      <c r="F17" s="21" t="n">
        <f aca="false">F19-((E14)-F16)</f>
        <v>410429997.433774</v>
      </c>
      <c r="G17" s="21" t="n">
        <f aca="false">G19-((F14)-G16)</f>
        <v>829331671.834257</v>
      </c>
      <c r="H17" s="21" t="n">
        <f aca="false">H19-((G14)-H16)</f>
        <v>1234758660.04089</v>
      </c>
      <c r="I17" s="21" t="n">
        <f aca="false">I19-((H14)-I16)</f>
        <v>1736119037.62752</v>
      </c>
      <c r="J17" s="21" t="n">
        <f aca="false">J19-((I14)-J16)</f>
        <v>2254505948.37595</v>
      </c>
      <c r="K17" s="21" t="n">
        <f aca="false">K19-((J14)-K16)</f>
        <v>2901817715.50005</v>
      </c>
      <c r="L17" s="21" t="n">
        <f aca="false">L19-((K14)-L16)</f>
        <v>3710721496.91245</v>
      </c>
      <c r="M17" s="21" t="n">
        <f aca="false">M19-((L14)-M16)</f>
        <v>4721975542.02895</v>
      </c>
      <c r="N17" s="21" t="n">
        <f aca="false">N19-((M14)-N16)</f>
        <v>5986467427.64048</v>
      </c>
      <c r="O17" s="21" t="n">
        <f aca="false">O19-((N14)-O16)</f>
        <v>7567758758.74423</v>
      </c>
      <c r="P17" s="21" t="n">
        <f aca="false">P19-((O14)-P16)</f>
        <v>9545263568.07442</v>
      </c>
    </row>
    <row r="18" customFormat="false" ht="14.25" hidden="false" customHeight="true" outlineLevel="0" collapsed="false">
      <c r="A18" s="5" t="s">
        <v>397</v>
      </c>
      <c r="E18" s="21" t="n">
        <f aca="false">(0)-MIN(0,E11)</f>
        <v>0</v>
      </c>
      <c r="F18" s="21" t="n">
        <f aca="false">(E16)-MIN(E16,F11)</f>
        <v>0</v>
      </c>
      <c r="G18" s="21" t="n">
        <f aca="false">(F16)-MIN(F16,G11)</f>
        <v>0</v>
      </c>
      <c r="H18" s="21" t="n">
        <f aca="false">(G16)-MIN(G16,H11)</f>
        <v>0</v>
      </c>
      <c r="I18" s="21" t="n">
        <f aca="false">(H16)-MIN(H16,I11)</f>
        <v>0</v>
      </c>
      <c r="J18" s="21" t="n">
        <f aca="false">(I16)-MIN(I16,J11)</f>
        <v>0</v>
      </c>
      <c r="K18" s="21" t="n">
        <f aca="false">(J16)-MIN(J16,K11)</f>
        <v>0</v>
      </c>
      <c r="L18" s="21" t="n">
        <f aca="false">(K16)-MIN(K16,L11)</f>
        <v>0</v>
      </c>
      <c r="M18" s="21" t="n">
        <f aca="false">(L16)-MIN(L16,M11)</f>
        <v>0</v>
      </c>
      <c r="N18" s="21" t="n">
        <f aca="false">(M16)-MIN(M16,N11)</f>
        <v>0</v>
      </c>
      <c r="O18" s="21" t="n">
        <f aca="false">(N16)-MIN(N16,O11)</f>
        <v>0</v>
      </c>
      <c r="P18" s="21" t="n">
        <f aca="false">(O16)-MIN(O16,P11)</f>
        <v>0</v>
      </c>
    </row>
    <row r="19" customFormat="false" ht="14.25" hidden="false" customHeight="true" outlineLevel="0" collapsed="false">
      <c r="A19" s="5" t="s">
        <v>398</v>
      </c>
      <c r="E19" s="21" t="n">
        <f aca="false">E11-((0)-E18)</f>
        <v>485794331.483425</v>
      </c>
      <c r="F19" s="21" t="n">
        <f aca="false">F11-((E16)-F18)</f>
        <v>410429997.433774</v>
      </c>
      <c r="G19" s="21" t="n">
        <f aca="false">G11-((F16)-G18)</f>
        <v>829331671.834257</v>
      </c>
      <c r="H19" s="21" t="n">
        <f aca="false">H11-((G16)-H18)</f>
        <v>1234758660.04089</v>
      </c>
      <c r="I19" s="21" t="n">
        <f aca="false">I11-((H16)-I18)</f>
        <v>1736119037.62752</v>
      </c>
      <c r="J19" s="21" t="n">
        <f aca="false">J11-((I16)-J18)</f>
        <v>2254505948.37595</v>
      </c>
      <c r="K19" s="21" t="n">
        <f aca="false">K11-((J16)-K18)</f>
        <v>2901817715.50005</v>
      </c>
      <c r="L19" s="21" t="n">
        <f aca="false">L11-((K16)-L18)</f>
        <v>3710721496.91245</v>
      </c>
      <c r="M19" s="21" t="n">
        <f aca="false">M11-((L16)-M18)</f>
        <v>4721975542.02895</v>
      </c>
      <c r="N19" s="21" t="n">
        <f aca="false">N11-((M16)-N18)</f>
        <v>5986467427.64048</v>
      </c>
      <c r="O19" s="21" t="n">
        <f aca="false">O11-((N16)-O18)</f>
        <v>7567758758.74423</v>
      </c>
      <c r="P19" s="21" t="n">
        <f aca="false">P11-((O16)-P18)</f>
        <v>9545263568.07442</v>
      </c>
    </row>
    <row r="20" customFormat="false" ht="14.25" hidden="false" customHeight="true" outlineLevel="0" collapsed="false">
      <c r="A20" s="4" t="s">
        <v>399</v>
      </c>
      <c r="E20" s="22" t="n">
        <f aca="false">MAX(E13,0)</f>
        <v>365794331.483425</v>
      </c>
      <c r="F20" s="22" t="n">
        <f aca="false">MAX(F13,0)</f>
        <v>410429997.433774</v>
      </c>
      <c r="G20" s="22" t="n">
        <f aca="false">MAX(G13,0)</f>
        <v>829331671.834257</v>
      </c>
      <c r="H20" s="22" t="n">
        <f aca="false">MAX(H13,0)</f>
        <v>1234758660.04089</v>
      </c>
      <c r="I20" s="22" t="n">
        <f aca="false">MAX(I13,0)</f>
        <v>1736119037.62752</v>
      </c>
      <c r="J20" s="22" t="n">
        <f aca="false">MAX(J13,0)</f>
        <v>2254505948.37595</v>
      </c>
      <c r="K20" s="22" t="n">
        <f aca="false">MAX(K13,0)</f>
        <v>2901817715.50005</v>
      </c>
      <c r="L20" s="22" t="n">
        <f aca="false">MAX(L13,0)</f>
        <v>3710721496.91245</v>
      </c>
      <c r="M20" s="22" t="n">
        <f aca="false">MAX(M13,0)</f>
        <v>4721975542.02895</v>
      </c>
      <c r="N20" s="22" t="n">
        <f aca="false">MAX(N13,0)</f>
        <v>5986467427.64048</v>
      </c>
      <c r="O20" s="22" t="n">
        <f aca="false">MAX(O13,0)</f>
        <v>7567758758.74423</v>
      </c>
      <c r="P20" s="22" t="n">
        <f aca="false">MAX(P13,0)</f>
        <v>9545263568.07442</v>
      </c>
    </row>
    <row r="21" customFormat="false" ht="14.25" hidden="false" customHeight="true" outlineLevel="0" collapsed="false">
      <c r="A21" s="4" t="s">
        <v>400</v>
      </c>
      <c r="E21" s="22" t="n">
        <f aca="false">E20*CIT</f>
        <v>109738299.445028</v>
      </c>
      <c r="F21" s="22" t="n">
        <f aca="false">F20*CIT</f>
        <v>123128999.230132</v>
      </c>
      <c r="G21" s="22" t="n">
        <f aca="false">G20*CIT</f>
        <v>248799501.550277</v>
      </c>
      <c r="H21" s="22" t="n">
        <f aca="false">H20*CIT</f>
        <v>370427598.012266</v>
      </c>
      <c r="I21" s="22" t="n">
        <f aca="false">I20*CIT</f>
        <v>520835711.288255</v>
      </c>
      <c r="J21" s="22" t="n">
        <f aca="false">J20*CIT</f>
        <v>676351784.512785</v>
      </c>
      <c r="K21" s="22" t="n">
        <f aca="false">K20*CIT</f>
        <v>870545314.650014</v>
      </c>
      <c r="L21" s="22" t="n">
        <f aca="false">L20*CIT</f>
        <v>1113216449.07374</v>
      </c>
      <c r="M21" s="22" t="n">
        <f aca="false">M20*CIT</f>
        <v>1416592662.60869</v>
      </c>
      <c r="N21" s="22" t="n">
        <f aca="false">N20*CIT</f>
        <v>1795940228.29214</v>
      </c>
      <c r="O21" s="22" t="n">
        <f aca="false">O20*CIT</f>
        <v>2270327627.62327</v>
      </c>
      <c r="P21" s="22" t="n">
        <f aca="false">P20*CIT</f>
        <v>2863579070.42233</v>
      </c>
    </row>
    <row r="23" customFormat="false" ht="14.25" hidden="false" customHeight="true" outlineLevel="0" collapsed="false">
      <c r="A23" s="10" t="s">
        <v>401</v>
      </c>
      <c r="B23" s="11"/>
      <c r="C23" s="11"/>
      <c r="D23" s="11"/>
      <c r="E23" s="11"/>
      <c r="F23" s="11"/>
      <c r="G23" s="11"/>
      <c r="H23" s="11"/>
      <c r="I23" s="11"/>
      <c r="J23" s="11"/>
      <c r="K23" s="11"/>
      <c r="L23" s="11"/>
      <c r="M23" s="11"/>
      <c r="N23" s="11"/>
      <c r="O23" s="11"/>
      <c r="P23" s="11"/>
    </row>
    <row r="24" customFormat="false" ht="14.25" hidden="false" customHeight="true" outlineLevel="0" collapsed="false">
      <c r="A24" s="5" t="s">
        <v>402</v>
      </c>
      <c r="E24" s="21" t="n">
        <f aca="false">MAX(IP_V+PPE_V-AssetSplit!E52,0)</f>
        <v>5249275627.74619</v>
      </c>
      <c r="F24" s="21" t="n">
        <f aca="false">MAX(IP_V+PPE_V-AssetSplit!F52,0)</f>
        <v>5147740745.79387</v>
      </c>
      <c r="G24" s="21" t="n">
        <f aca="false">MAX(IP_V+PPE_V-AssetSplit!G52,0)</f>
        <v>5046205863.84155</v>
      </c>
      <c r="H24" s="21" t="n">
        <f aca="false">MAX(IP_V+PPE_V-AssetSplit!H52,0)</f>
        <v>4944670981.88924</v>
      </c>
      <c r="I24" s="21" t="n">
        <f aca="false">MAX(IP_V+PPE_V-AssetSplit!I52,0)</f>
        <v>4843136099.93692</v>
      </c>
      <c r="J24" s="21" t="n">
        <f aca="false">MAX(IP_V+PPE_V-AssetSplit!J52,0)</f>
        <v>4741601217.9846</v>
      </c>
      <c r="K24" s="21" t="n">
        <f aca="false">MAX(IP_V+PPE_V-AssetSplit!K52,0)</f>
        <v>4640066336.03228</v>
      </c>
      <c r="L24" s="21" t="n">
        <f aca="false">MAX(IP_V+PPE_V-AssetSplit!L52,0)</f>
        <v>4559018976.54945</v>
      </c>
      <c r="M24" s="21" t="n">
        <f aca="false">MAX(IP_V+PPE_V-AssetSplit!M52,0)</f>
        <v>4477971617.06662</v>
      </c>
      <c r="N24" s="21" t="n">
        <f aca="false">MAX(IP_V+PPE_V-AssetSplit!N52,0)</f>
        <v>4396924257.58378</v>
      </c>
      <c r="O24" s="21" t="n">
        <f aca="false">MAX(IP_V+PPE_V-AssetSplit!O52,0)</f>
        <v>4315876898.10095</v>
      </c>
      <c r="P24" s="21" t="n">
        <f aca="false">MAX(IP_V+PPE_V-AssetSplit!P52,0)</f>
        <v>4234829538.61812</v>
      </c>
    </row>
    <row r="25" customFormat="false" ht="14.25" hidden="false" customHeight="true" outlineLevel="0" collapsed="false">
      <c r="A25" s="5" t="s">
        <v>403</v>
      </c>
      <c r="E25" s="21" t="n">
        <f aca="false">MAX(TAX_BASE_BLDG-TAX_DEP_AN_BLDG*1,0)</f>
        <v>3474383244.82473</v>
      </c>
      <c r="F25" s="21" t="n">
        <f aca="false">MAX(TAX_BASE_BLDG-TAX_DEP_AN_BLDG*2,0)</f>
        <v>3291520968.78132</v>
      </c>
      <c r="G25" s="21" t="n">
        <f aca="false">MAX(TAX_BASE_BLDG-TAX_DEP_AN_BLDG*3,0)</f>
        <v>3108658692.73791</v>
      </c>
      <c r="H25" s="21" t="n">
        <f aca="false">MAX(TAX_BASE_BLDG-TAX_DEP_AN_BLDG*4,0)</f>
        <v>2925796416.69451</v>
      </c>
      <c r="I25" s="21" t="n">
        <f aca="false">MAX(TAX_BASE_BLDG-TAX_DEP_AN_BLDG*5,0)</f>
        <v>2742934140.6511</v>
      </c>
      <c r="J25" s="21" t="n">
        <f aca="false">MAX(TAX_BASE_BLDG-TAX_DEP_AN_BLDG*6,0)</f>
        <v>2560071864.60769</v>
      </c>
      <c r="K25" s="21" t="n">
        <f aca="false">MAX(TAX_BASE_BLDG-TAX_DEP_AN_BLDG*7,0)</f>
        <v>2377209588.56429</v>
      </c>
      <c r="L25" s="21" t="n">
        <f aca="false">MAX(TAX_BASE_BLDG-TAX_DEP_AN_BLDG*8,0)</f>
        <v>2194347312.52088</v>
      </c>
      <c r="M25" s="21" t="n">
        <f aca="false">MAX(TAX_BASE_BLDG-TAX_DEP_AN_BLDG*9,0)</f>
        <v>2011485036.47747</v>
      </c>
      <c r="N25" s="21" t="n">
        <f aca="false">MAX(TAX_BASE_BLDG-TAX_DEP_AN_BLDG*10,0)</f>
        <v>1828622760.43407</v>
      </c>
      <c r="O25" s="21" t="n">
        <f aca="false">MAX(TAX_BASE_BLDG-TAX_DEP_AN_BLDG*11,0)</f>
        <v>1645760484.39066</v>
      </c>
      <c r="P25" s="21" t="n">
        <f aca="false">MAX(TAX_BASE_BLDG-TAX_DEP_AN_BLDG*12,0)</f>
        <v>1462898208.34725</v>
      </c>
    </row>
    <row r="26" customFormat="false" ht="14.25" hidden="false" customHeight="true" outlineLevel="0" collapsed="false">
      <c r="A26" s="5" t="s">
        <v>404</v>
      </c>
      <c r="E26" s="21" t="n">
        <f aca="false">TAX_BASE_PLANT*(1-TAX_DEP_PLANT)^1</f>
        <v>209559514.61476</v>
      </c>
      <c r="F26" s="21" t="n">
        <f aca="false">TAX_BASE_PLANT*(1-TAX_DEP_PLANT)^2</f>
        <v>167647611.691808</v>
      </c>
      <c r="G26" s="21" t="n">
        <f aca="false">TAX_BASE_PLANT*(1-TAX_DEP_PLANT)^3</f>
        <v>134118089.353446</v>
      </c>
      <c r="H26" s="21" t="n">
        <f aca="false">TAX_BASE_PLANT*(1-TAX_DEP_PLANT)^4</f>
        <v>107294471.482757</v>
      </c>
      <c r="I26" s="21" t="n">
        <f aca="false">TAX_BASE_PLANT*(1-TAX_DEP_PLANT)^5</f>
        <v>85835577.1862056</v>
      </c>
      <c r="J26" s="21" t="n">
        <f aca="false">TAX_BASE_PLANT*(1-TAX_DEP_PLANT)^6</f>
        <v>68668461.7489645</v>
      </c>
      <c r="K26" s="21" t="n">
        <f aca="false">TAX_BASE_PLANT*(1-TAX_DEP_PLANT)^7</f>
        <v>54934769.3991716</v>
      </c>
      <c r="L26" s="21" t="n">
        <f aca="false">TAX_BASE_PLANT*(1-TAX_DEP_PLANT)^8</f>
        <v>43947815.5193373</v>
      </c>
      <c r="M26" s="21" t="n">
        <f aca="false">TAX_BASE_PLANT*(1-TAX_DEP_PLANT)^9</f>
        <v>35158252.4154698</v>
      </c>
      <c r="N26" s="21" t="n">
        <f aca="false">TAX_BASE_PLANT*(1-TAX_DEP_PLANT)^10</f>
        <v>28126601.9323758</v>
      </c>
      <c r="O26" s="21" t="n">
        <f aca="false">TAX_BASE_PLANT*(1-TAX_DEP_PLANT)^11</f>
        <v>22501281.5459007</v>
      </c>
      <c r="P26" s="21" t="n">
        <f aca="false">TAX_BASE_PLANT*(1-TAX_DEP_PLANT)^12</f>
        <v>18001025.2367205</v>
      </c>
    </row>
    <row r="27" customFormat="false" ht="14.25" hidden="false" customHeight="true" outlineLevel="0" collapsed="false">
      <c r="A27" s="4" t="s">
        <v>405</v>
      </c>
      <c r="E27" s="22" t="n">
        <f aca="false">E25+E26</f>
        <v>3683942759.43949</v>
      </c>
      <c r="F27" s="22" t="n">
        <f aca="false">F25+F26</f>
        <v>3459168580.47313</v>
      </c>
      <c r="G27" s="22" t="n">
        <f aca="false">G25+G26</f>
        <v>3242776782.09136</v>
      </c>
      <c r="H27" s="22" t="n">
        <f aca="false">H25+H26</f>
        <v>3033090888.17727</v>
      </c>
      <c r="I27" s="22" t="n">
        <f aca="false">I25+I26</f>
        <v>2828769717.83731</v>
      </c>
      <c r="J27" s="22" t="n">
        <f aca="false">J25+J26</f>
        <v>2628740326.35666</v>
      </c>
      <c r="K27" s="22" t="n">
        <f aca="false">K25+K26</f>
        <v>2432144357.96346</v>
      </c>
      <c r="L27" s="22" t="n">
        <f aca="false">L25+L26</f>
        <v>2238295128.04022</v>
      </c>
      <c r="M27" s="22" t="n">
        <f aca="false">M25+M26</f>
        <v>2046643288.89294</v>
      </c>
      <c r="N27" s="22" t="n">
        <f aca="false">N25+N26</f>
        <v>1856749362.36644</v>
      </c>
      <c r="O27" s="22" t="n">
        <f aca="false">O25+O26</f>
        <v>1668261765.93656</v>
      </c>
      <c r="P27" s="22" t="n">
        <f aca="false">P25+P26</f>
        <v>1480899233.58397</v>
      </c>
    </row>
    <row r="28" customFormat="false" ht="14.25" hidden="false" customHeight="true" outlineLevel="0" collapsed="false">
      <c r="A28" s="5" t="s">
        <v>406</v>
      </c>
      <c r="E28" s="21" t="n">
        <f aca="false">E24-E27</f>
        <v>1565332868.3067</v>
      </c>
      <c r="F28" s="21" t="n">
        <f aca="false">F24-F27</f>
        <v>1688572165.32074</v>
      </c>
      <c r="G28" s="21" t="n">
        <f aca="false">G24-G27</f>
        <v>1803429081.75019</v>
      </c>
      <c r="H28" s="21" t="n">
        <f aca="false">H24-H27</f>
        <v>1911580093.71197</v>
      </c>
      <c r="I28" s="21" t="n">
        <f aca="false">I24-I27</f>
        <v>2014366382.09961</v>
      </c>
      <c r="J28" s="21" t="n">
        <f aca="false">J24-J27</f>
        <v>2112860891.62794</v>
      </c>
      <c r="K28" s="21" t="n">
        <f aca="false">K24-K27</f>
        <v>2207921978.06882</v>
      </c>
      <c r="L28" s="21" t="n">
        <f aca="false">L24-L27</f>
        <v>2320723848.50923</v>
      </c>
      <c r="M28" s="21" t="n">
        <f aca="false">M24-M27</f>
        <v>2431328328.17367</v>
      </c>
      <c r="N28" s="21" t="n">
        <f aca="false">N24-N27</f>
        <v>2540174895.21734</v>
      </c>
      <c r="O28" s="21" t="n">
        <f aca="false">O24-O27</f>
        <v>2647615132.16439</v>
      </c>
      <c r="P28" s="21" t="n">
        <f aca="false">P24-P27</f>
        <v>2753930305.03414</v>
      </c>
    </row>
    <row r="29" customFormat="false" ht="14.25" hidden="false" customHeight="true" outlineLevel="0" collapsed="false">
      <c r="A29" s="4" t="s">
        <v>407</v>
      </c>
      <c r="E29" s="22" t="n">
        <f aca="false">MAX(E28,0)*CIT</f>
        <v>469599860.492011</v>
      </c>
      <c r="F29" s="22" t="n">
        <f aca="false">MAX(F28,0)*CIT</f>
        <v>506571649.596223</v>
      </c>
      <c r="G29" s="22" t="n">
        <f aca="false">MAX(G28,0)*CIT</f>
        <v>541028724.525058</v>
      </c>
      <c r="H29" s="22" t="n">
        <f aca="false">MAX(H28,0)*CIT</f>
        <v>573474028.113591</v>
      </c>
      <c r="I29" s="22" t="n">
        <f aca="false">MAX(I28,0)*CIT</f>
        <v>604309914.629883</v>
      </c>
      <c r="J29" s="22" t="n">
        <f aca="false">MAX(J28,0)*CIT</f>
        <v>633858267.488382</v>
      </c>
      <c r="K29" s="22" t="n">
        <f aca="false">MAX(K28,0)*CIT</f>
        <v>662376593.420647</v>
      </c>
      <c r="L29" s="22" t="n">
        <f aca="false">MAX(L28,0)*CIT</f>
        <v>696217154.552769</v>
      </c>
      <c r="M29" s="22" t="n">
        <f aca="false">MAX(M28,0)*CIT</f>
        <v>729398498.452102</v>
      </c>
      <c r="N29" s="22" t="n">
        <f aca="false">MAX(N28,0)*CIT</f>
        <v>762052468.565202</v>
      </c>
      <c r="O29" s="22" t="n">
        <f aca="false">MAX(O28,0)*CIT</f>
        <v>794284539.649316</v>
      </c>
      <c r="P29" s="22" t="n">
        <f aca="false">MAX(P28,0)*CIT</f>
        <v>826179091.510243</v>
      </c>
    </row>
    <row r="30" customFormat="false" ht="14.25" hidden="false" customHeight="true" outlineLevel="0" collapsed="false">
      <c r="A30" s="4" t="s">
        <v>408</v>
      </c>
      <c r="E30" s="22" t="n">
        <f aca="false">E29</f>
        <v>469599860.492011</v>
      </c>
      <c r="F30" s="22" t="n">
        <f aca="false">F29-E29</f>
        <v>36971789.1042123</v>
      </c>
      <c r="G30" s="22" t="n">
        <f aca="false">G29-F29</f>
        <v>34457074.9288352</v>
      </c>
      <c r="H30" s="22" t="n">
        <f aca="false">H29-G29</f>
        <v>32445303.5885332</v>
      </c>
      <c r="I30" s="22" t="n">
        <f aca="false">I29-H29</f>
        <v>30835886.5162921</v>
      </c>
      <c r="J30" s="22" t="n">
        <f aca="false">J29-I29</f>
        <v>29548352.8584992</v>
      </c>
      <c r="K30" s="22" t="n">
        <f aca="false">K29-J29</f>
        <v>28518325.9322644</v>
      </c>
      <c r="L30" s="22" t="n">
        <f aca="false">L29-K29</f>
        <v>33840561.1321225</v>
      </c>
      <c r="M30" s="22" t="n">
        <f aca="false">M29-L29</f>
        <v>33181343.8993322</v>
      </c>
      <c r="N30" s="22" t="n">
        <f aca="false">N29-M29</f>
        <v>32653970.1131001</v>
      </c>
      <c r="O30" s="22" t="n">
        <f aca="false">O29-N29</f>
        <v>32232071.0841148</v>
      </c>
      <c r="P30" s="22" t="n">
        <f aca="false">P29-O29</f>
        <v>31894551.8609263</v>
      </c>
    </row>
    <row r="32" customFormat="false" ht="14.25" hidden="false" customHeight="true" outlineLevel="0" collapsed="false">
      <c r="A32" s="10" t="s">
        <v>409</v>
      </c>
      <c r="B32" s="11"/>
      <c r="C32" s="11"/>
      <c r="D32" s="11"/>
      <c r="E32" s="11"/>
      <c r="F32" s="11"/>
      <c r="G32" s="11"/>
      <c r="H32" s="11"/>
      <c r="I32" s="11"/>
      <c r="J32" s="11"/>
      <c r="K32" s="11"/>
      <c r="L32" s="11"/>
      <c r="M32" s="11"/>
      <c r="N32" s="11"/>
      <c r="O32" s="11"/>
      <c r="P32" s="11"/>
    </row>
    <row r="33" customFormat="false" ht="14.25" hidden="false" customHeight="true" outlineLevel="0" collapsed="false">
      <c r="A33" s="5" t="s">
        <v>410</v>
      </c>
      <c r="E33" s="21" t="n">
        <f aca="false">E4-E21-E30</f>
        <v>40173444.291166</v>
      </c>
      <c r="F33" s="21" t="n">
        <f aca="false">F4-F21-F30</f>
        <v>373568506.11347</v>
      </c>
      <c r="G33" s="21" t="n">
        <f aca="false">G4-G21-G30</f>
        <v>660932011.784595</v>
      </c>
      <c r="H33" s="21" t="n">
        <f aca="false">H4-H21-H30</f>
        <v>940036770.401866</v>
      </c>
      <c r="I33" s="21" t="n">
        <f aca="false">I4-I21-I30</f>
        <v>1287233728.21061</v>
      </c>
      <c r="J33" s="21" t="n">
        <f aca="false">J4-J21-J30</f>
        <v>1647100320.533</v>
      </c>
      <c r="K33" s="21" t="n">
        <f aca="false">K4-K21-K30</f>
        <v>2097815161.35865</v>
      </c>
      <c r="L33" s="21" t="n">
        <f aca="false">L4-L21-L30</f>
        <v>2676466357.147</v>
      </c>
      <c r="M33" s="21" t="n">
        <f aca="false">M4-M21-M30</f>
        <v>3382806015.18538</v>
      </c>
      <c r="N33" s="21" t="n">
        <f aca="false">N4-N21-N30</f>
        <v>4266719796.27891</v>
      </c>
      <c r="O33" s="21" t="n">
        <f aca="false">O4-O21-O30</f>
        <v>5372639296.98389</v>
      </c>
      <c r="P33" s="21" t="n">
        <f aca="false">P4-P21-P30</f>
        <v>6756105118.66092</v>
      </c>
    </row>
    <row r="34" customFormat="false" ht="14.25" hidden="false" customHeight="true" outlineLevel="0" collapsed="false">
      <c r="A34" s="4" t="s">
        <v>380</v>
      </c>
      <c r="C34" s="26" t="s">
        <v>411</v>
      </c>
      <c r="E34" s="22" t="n">
        <f aca="false">E33*(1-0)*UNDIST_TAX_RATE/(1+(1-0)*UNDIST_TAX_RATE)</f>
        <v>0</v>
      </c>
      <c r="F34" s="22" t="n">
        <f aca="false">F33*(1-PAYOUT)*UNDIST_TAX_RATE/(1+(1-PAYOUT)*UNDIST_TAX_RATE)</f>
        <v>0</v>
      </c>
      <c r="G34" s="22" t="n">
        <f aca="false">G33*(1-PAYOUT)*UNDIST_TAX_RATE/(1+(1-PAYOUT)*UNDIST_TAX_RATE)</f>
        <v>0</v>
      </c>
      <c r="H34" s="22" t="n">
        <f aca="false">H33*(1-PAYOUT)*UNDIST_TAX_RATE/(1+(1-PAYOUT)*UNDIST_TAX_RATE)</f>
        <v>0</v>
      </c>
      <c r="I34" s="22" t="n">
        <f aca="false">I33*(1-PAYOUT)*UNDIST_TAX_RATE/(1+(1-PAYOUT)*UNDIST_TAX_RATE)</f>
        <v>0</v>
      </c>
      <c r="J34" s="22" t="n">
        <f aca="false">J33*(1-PAYOUT)*UNDIST_TAX_RATE/(1+(1-PAYOUT)*UNDIST_TAX_RATE)</f>
        <v>0</v>
      </c>
      <c r="K34" s="22" t="n">
        <f aca="false">K33*(1-PAYOUT)*UNDIST_TAX_RATE/(1+(1-PAYOUT)*UNDIST_TAX_RATE)</f>
        <v>0</v>
      </c>
      <c r="L34" s="22" t="n">
        <f aca="false">L33*(1-PAYOUT)*UNDIST_TAX_RATE/(1+(1-PAYOUT)*UNDIST_TAX_RATE)</f>
        <v>0</v>
      </c>
      <c r="M34" s="22" t="n">
        <f aca="false">M33*(1-PAYOUT)*UNDIST_TAX_RATE/(1+(1-PAYOUT)*UNDIST_TAX_RATE)</f>
        <v>0</v>
      </c>
      <c r="N34" s="22" t="n">
        <f aca="false">N33*(1-PAYOUT)*UNDIST_TAX_RATE/(1+(1-PAYOUT)*UNDIST_TAX_RATE)</f>
        <v>0</v>
      </c>
      <c r="O34" s="22" t="n">
        <f aca="false">O33*(1-PAYOUT)*UNDIST_TAX_RATE/(1+(1-PAYOUT)*UNDIST_TAX_RATE)</f>
        <v>0</v>
      </c>
      <c r="P34" s="22" t="n">
        <f aca="false">P33*(1-PAYOUT)*UNDIST_TAX_RATE/(1+(1-PAYOUT)*UNDIST_TAX_RATE)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C20" activeCellId="0" sqref="C20"/>
    </sheetView>
  </sheetViews>
  <sheetFormatPr defaultColWidth="8.6796875" defaultRowHeight="14.25" zeroHeight="false" outlineLevelRow="0" outlineLevelCol="0"/>
  <cols>
    <col collapsed="false" customWidth="true" hidden="false" outlineLevel="0" max="1" min="1" style="1" width="44"/>
    <col collapsed="false" customWidth="true" hidden="false" outlineLevel="0" max="10" min="5" style="1" width="11.27"/>
    <col collapsed="false" customWidth="true" hidden="false" outlineLevel="0" max="11" min="11" style="1" width="13.36"/>
    <col collapsed="false" customWidth="true" hidden="false" outlineLevel="0" max="16" min="12" style="1" width="12.36"/>
  </cols>
  <sheetData>
    <row r="1" customFormat="false" ht="18" hidden="false" customHeight="true" outlineLevel="0" collapsed="false">
      <c r="A1" s="8" t="s">
        <v>412</v>
      </c>
    </row>
    <row r="2" customFormat="false" ht="14.25" hidden="false" customHeight="true" outlineLevel="0" collapsed="false">
      <c r="A2" s="4" t="s">
        <v>253</v>
      </c>
      <c r="E2" s="31" t="s">
        <v>257</v>
      </c>
      <c r="F2" s="31" t="s">
        <v>258</v>
      </c>
      <c r="G2" s="31" t="s">
        <v>259</v>
      </c>
      <c r="H2" s="31" t="s">
        <v>260</v>
      </c>
      <c r="I2" s="31" t="s">
        <v>261</v>
      </c>
      <c r="J2" s="31" t="s">
        <v>262</v>
      </c>
      <c r="K2" s="31" t="s">
        <v>263</v>
      </c>
      <c r="L2" s="31" t="s">
        <v>264</v>
      </c>
      <c r="M2" s="31" t="s">
        <v>265</v>
      </c>
      <c r="N2" s="31" t="s">
        <v>266</v>
      </c>
      <c r="O2" s="31" t="s">
        <v>267</v>
      </c>
      <c r="P2" s="31" t="s">
        <v>268</v>
      </c>
    </row>
    <row r="3" customFormat="false" ht="14.25" hidden="false" customHeight="true" outlineLevel="0" collapsed="false">
      <c r="A3" s="10" t="s">
        <v>170</v>
      </c>
      <c r="B3" s="11"/>
      <c r="C3" s="11"/>
      <c r="D3" s="11"/>
      <c r="E3" s="11"/>
      <c r="F3" s="11"/>
      <c r="G3" s="11"/>
      <c r="H3" s="11"/>
      <c r="I3" s="11"/>
      <c r="J3" s="11"/>
      <c r="K3" s="11"/>
      <c r="L3" s="11"/>
      <c r="M3" s="11"/>
      <c r="N3" s="11"/>
      <c r="O3" s="11"/>
      <c r="P3" s="11"/>
    </row>
    <row r="4" customFormat="false" ht="14.25" hidden="false" customHeight="true" outlineLevel="0" collapsed="false">
      <c r="A4" s="5" t="s">
        <v>373</v>
      </c>
      <c r="E4" s="21" t="n">
        <f aca="false">PL!E13</f>
        <v>987236458.401335</v>
      </c>
      <c r="F4" s="21" t="n">
        <f aca="false">PL!F13</f>
        <v>851805852.752687</v>
      </c>
      <c r="G4" s="21" t="n">
        <f aca="false">PL!G13</f>
        <v>1202819191.52667</v>
      </c>
      <c r="H4" s="21" t="n">
        <f aca="false">PL!H13</f>
        <v>1530133129.21533</v>
      </c>
      <c r="I4" s="21" t="n">
        <f aca="false">PL!I13</f>
        <v>1940440207.96748</v>
      </c>
      <c r="J4" s="21" t="n">
        <f aca="false">PL!J13</f>
        <v>2454535339.8566</v>
      </c>
      <c r="K4" s="21" t="n">
        <f aca="false">PL!K13</f>
        <v>3098413683.89325</v>
      </c>
      <c r="L4" s="21" t="n">
        <f aca="false">PL!L13</f>
        <v>3904570726.83569</v>
      </c>
      <c r="M4" s="21" t="n">
        <f aca="false">PL!M13</f>
        <v>4913627381.17623</v>
      </c>
      <c r="N4" s="21" t="n">
        <f aca="false">PL!N13</f>
        <v>6176361354.16698</v>
      </c>
      <c r="O4" s="21" t="n">
        <f aca="false">PL!O13</f>
        <v>7756246355.17411</v>
      </c>
      <c r="P4" s="21" t="n">
        <f aca="false">PL!P13</f>
        <v>9732626100.42701</v>
      </c>
    </row>
    <row r="5" customFormat="false" ht="14.25" hidden="false" customHeight="true" outlineLevel="0" collapsed="false">
      <c r="A5" s="5" t="s">
        <v>413</v>
      </c>
      <c r="E5" s="21" t="n">
        <f aca="false">-PL!E10</f>
        <v>873677724.282975</v>
      </c>
      <c r="F5" s="21" t="n">
        <f aca="false">-PL!F10</f>
        <v>-0</v>
      </c>
      <c r="G5" s="21" t="n">
        <f aca="false">-PL!G10</f>
        <v>-0</v>
      </c>
      <c r="H5" s="21" t="n">
        <f aca="false">-PL!H10</f>
        <v>-0</v>
      </c>
      <c r="I5" s="21" t="n">
        <f aca="false">-PL!I10</f>
        <v>-0</v>
      </c>
      <c r="J5" s="21" t="n">
        <f aca="false">-PL!J10</f>
        <v>-0</v>
      </c>
      <c r="K5" s="21" t="n">
        <f aca="false">-PL!K10</f>
        <v>-0</v>
      </c>
      <c r="L5" s="21" t="n">
        <f aca="false">-PL!L10</f>
        <v>-0</v>
      </c>
      <c r="M5" s="21" t="n">
        <f aca="false">-PL!M10</f>
        <v>-0</v>
      </c>
      <c r="N5" s="21" t="n">
        <f aca="false">-PL!N10</f>
        <v>-0</v>
      </c>
      <c r="O5" s="21" t="n">
        <f aca="false">-PL!O10</f>
        <v>-0</v>
      </c>
      <c r="P5" s="21" t="n">
        <f aca="false">-PL!P10</f>
        <v>-0</v>
      </c>
    </row>
    <row r="6" customFormat="false" ht="14.25" hidden="false" customHeight="true" outlineLevel="0" collapsed="false">
      <c r="A6" s="5" t="s">
        <v>414</v>
      </c>
      <c r="E6" s="21" t="n">
        <f aca="false">IF(1=1,RETAIL_TOT*(1-SOLD_PCT)*KEY_MONEY,0)</f>
        <v>0</v>
      </c>
      <c r="F6" s="21" t="n">
        <f aca="false">IF(2=1,RETAIL_TOT*(1-SOLD_PCT)*KEY_MONEY,0)</f>
        <v>0</v>
      </c>
      <c r="G6" s="21" t="n">
        <f aca="false">IF(3=1,RETAIL_TOT*(1-SOLD_PCT)*KEY_MONEY,0)</f>
        <v>0</v>
      </c>
      <c r="H6" s="21" t="n">
        <f aca="false">IF(4=1,RETAIL_TOT*(1-SOLD_PCT)*KEY_MONEY,0)</f>
        <v>0</v>
      </c>
      <c r="I6" s="21" t="n">
        <f aca="false">IF(5=1,RETAIL_TOT*(1-SOLD_PCT)*KEY_MONEY,0)</f>
        <v>0</v>
      </c>
      <c r="J6" s="21" t="n">
        <f aca="false">IF(6=1,RETAIL_TOT*(1-SOLD_PCT)*KEY_MONEY,0)</f>
        <v>0</v>
      </c>
      <c r="K6" s="21" t="n">
        <f aca="false">IF(7=1,RETAIL_TOT*(1-SOLD_PCT)*KEY_MONEY,0)</f>
        <v>0</v>
      </c>
      <c r="L6" s="21" t="n">
        <f aca="false">IF(8=1,RETAIL_TOT*(1-SOLD_PCT)*KEY_MONEY,0)</f>
        <v>0</v>
      </c>
      <c r="M6" s="21" t="n">
        <f aca="false">IF(9=1,RETAIL_TOT*(1-SOLD_PCT)*KEY_MONEY,0)</f>
        <v>0</v>
      </c>
      <c r="N6" s="21" t="n">
        <f aca="false">IF(10=1,RETAIL_TOT*(1-SOLD_PCT)*KEY_MONEY,0)</f>
        <v>0</v>
      </c>
      <c r="O6" s="21" t="n">
        <f aca="false">IF(11=1,RETAIL_TOT*(1-SOLD_PCT)*KEY_MONEY,0)</f>
        <v>0</v>
      </c>
      <c r="P6" s="21" t="n">
        <f aca="false">IF(12=1,RETAIL_TOT*(1-SOLD_PCT)*KEY_MONEY,0)</f>
        <v>0</v>
      </c>
    </row>
    <row r="7" customFormat="false" ht="14.25" hidden="false" customHeight="true" outlineLevel="0" collapsed="false">
      <c r="A7" s="5" t="s">
        <v>415</v>
      </c>
      <c r="E7" s="21" t="n">
        <f aca="false">-PL!E5</f>
        <v>-0</v>
      </c>
      <c r="F7" s="21" t="n">
        <f aca="false">-PL!F5</f>
        <v>-0</v>
      </c>
      <c r="G7" s="21" t="n">
        <f aca="false">-PL!G5</f>
        <v>-0</v>
      </c>
      <c r="H7" s="21" t="n">
        <f aca="false">-PL!H5</f>
        <v>-0</v>
      </c>
      <c r="I7" s="21" t="n">
        <f aca="false">-PL!I5</f>
        <v>-0</v>
      </c>
      <c r="J7" s="21" t="n">
        <f aca="false">-PL!J5</f>
        <v>-0</v>
      </c>
      <c r="K7" s="21" t="n">
        <f aca="false">-PL!K5</f>
        <v>-0</v>
      </c>
      <c r="L7" s="21" t="n">
        <f aca="false">-PL!L5</f>
        <v>-0</v>
      </c>
      <c r="M7" s="21" t="n">
        <f aca="false">-PL!M5</f>
        <v>-0</v>
      </c>
      <c r="N7" s="21" t="n">
        <f aca="false">-PL!N5</f>
        <v>-0</v>
      </c>
      <c r="O7" s="21" t="n">
        <f aca="false">-PL!O5</f>
        <v>-0</v>
      </c>
      <c r="P7" s="21" t="n">
        <f aca="false">-PL!P5</f>
        <v>-0</v>
      </c>
    </row>
    <row r="8" customFormat="false" ht="14.25" hidden="false" customHeight="true" outlineLevel="0" collapsed="false">
      <c r="A8" s="5" t="s">
        <v>416</v>
      </c>
      <c r="E8" s="21" t="n">
        <f aca="false">PL!E18</f>
        <v>-109738299.445028</v>
      </c>
      <c r="F8" s="21" t="n">
        <f aca="false">PL!F18</f>
        <v>-123128999.230132</v>
      </c>
      <c r="G8" s="21" t="n">
        <f aca="false">PL!G18</f>
        <v>-248799501.550277</v>
      </c>
      <c r="H8" s="21" t="n">
        <f aca="false">PL!H18</f>
        <v>-370427598.012266</v>
      </c>
      <c r="I8" s="21" t="n">
        <f aca="false">PL!I18</f>
        <v>-520835711.288255</v>
      </c>
      <c r="J8" s="21" t="n">
        <f aca="false">PL!J18</f>
        <v>-676351784.512785</v>
      </c>
      <c r="K8" s="21" t="n">
        <f aca="false">PL!K18</f>
        <v>-870545314.650014</v>
      </c>
      <c r="L8" s="21" t="n">
        <f aca="false">PL!L18</f>
        <v>-1113216449.07374</v>
      </c>
      <c r="M8" s="21" t="n">
        <f aca="false">PL!M18</f>
        <v>-1416592662.60869</v>
      </c>
      <c r="N8" s="21" t="n">
        <f aca="false">PL!N18</f>
        <v>-1795940228.29214</v>
      </c>
      <c r="O8" s="21" t="n">
        <f aca="false">PL!O18</f>
        <v>-2270327627.62327</v>
      </c>
      <c r="P8" s="21" t="n">
        <f aca="false">PL!P18</f>
        <v>-2863579070.42233</v>
      </c>
    </row>
    <row r="9" customFormat="false" ht="14.25" hidden="false" customHeight="true" outlineLevel="0" collapsed="false">
      <c r="A9" s="5" t="s">
        <v>417</v>
      </c>
      <c r="E9" s="21" t="n">
        <f aca="false">PL!E20</f>
        <v>-0</v>
      </c>
      <c r="F9" s="21" t="n">
        <f aca="false">PL!F20</f>
        <v>-0</v>
      </c>
      <c r="G9" s="21" t="n">
        <f aca="false">PL!G20</f>
        <v>-0</v>
      </c>
      <c r="H9" s="21" t="n">
        <f aca="false">PL!H20</f>
        <v>-0</v>
      </c>
      <c r="I9" s="21" t="n">
        <f aca="false">PL!I20</f>
        <v>-0</v>
      </c>
      <c r="J9" s="21" t="n">
        <f aca="false">PL!J20</f>
        <v>-0</v>
      </c>
      <c r="K9" s="21" t="n">
        <f aca="false">PL!K20</f>
        <v>-0</v>
      </c>
      <c r="L9" s="21" t="n">
        <f aca="false">PL!L20</f>
        <v>-0</v>
      </c>
      <c r="M9" s="21" t="n">
        <f aca="false">PL!M20</f>
        <v>-0</v>
      </c>
      <c r="N9" s="21" t="n">
        <f aca="false">PL!N20</f>
        <v>-0</v>
      </c>
      <c r="O9" s="21" t="n">
        <f aca="false">PL!O20</f>
        <v>-0</v>
      </c>
      <c r="P9" s="21" t="n">
        <f aca="false">PL!P20</f>
        <v>-0</v>
      </c>
    </row>
    <row r="10" customFormat="false" ht="14.25" hidden="false" customHeight="true" outlineLevel="0" collapsed="false">
      <c r="A10" s="5" t="s">
        <v>418</v>
      </c>
      <c r="E10" s="21" t="n">
        <f aca="false">IF(1=1,INPUT_VAT_CAPEX,0)</f>
        <v>629311210.434783</v>
      </c>
      <c r="F10" s="21" t="n">
        <f aca="false">IF(2=1,INPUT_VAT_CAPEX,0)</f>
        <v>0</v>
      </c>
      <c r="G10" s="21" t="n">
        <f aca="false">IF(3=1,INPUT_VAT_CAPEX,0)</f>
        <v>0</v>
      </c>
      <c r="H10" s="21" t="n">
        <f aca="false">IF(4=1,INPUT_VAT_CAPEX,0)</f>
        <v>0</v>
      </c>
      <c r="I10" s="21" t="n">
        <f aca="false">IF(5=1,INPUT_VAT_CAPEX,0)</f>
        <v>0</v>
      </c>
      <c r="J10" s="21" t="n">
        <f aca="false">IF(6=1,INPUT_VAT_CAPEX,0)</f>
        <v>0</v>
      </c>
      <c r="K10" s="21" t="n">
        <f aca="false">IF(7=1,INPUT_VAT_CAPEX,0)</f>
        <v>0</v>
      </c>
      <c r="L10" s="21" t="n">
        <f aca="false">IF(8=1,INPUT_VAT_CAPEX,0)</f>
        <v>0</v>
      </c>
      <c r="M10" s="21" t="n">
        <f aca="false">IF(9=1,INPUT_VAT_CAPEX,0)</f>
        <v>0</v>
      </c>
      <c r="N10" s="21" t="n">
        <f aca="false">IF(10=1,INPUT_VAT_CAPEX,0)</f>
        <v>0</v>
      </c>
      <c r="O10" s="21" t="n">
        <f aca="false">IF(11=1,INPUT_VAT_CAPEX,0)</f>
        <v>0</v>
      </c>
      <c r="P10" s="21" t="n">
        <f aca="false">IF(12=1,INPUT_VAT_CAPEX,0)</f>
        <v>0</v>
      </c>
    </row>
    <row r="11" customFormat="false" ht="14.25" hidden="false" customHeight="true" outlineLevel="0" collapsed="false">
      <c r="A11" s="4" t="s">
        <v>419</v>
      </c>
      <c r="E11" s="22" t="n">
        <f aca="false">SUM(E4:E10)</f>
        <v>2380487093.67407</v>
      </c>
      <c r="F11" s="22" t="n">
        <f aca="false">SUM(F4:F10)</f>
        <v>728676853.522555</v>
      </c>
      <c r="G11" s="22" t="n">
        <f aca="false">SUM(G4:G10)</f>
        <v>954019689.976392</v>
      </c>
      <c r="H11" s="22" t="n">
        <f aca="false">SUM(H4:H10)</f>
        <v>1159705531.20307</v>
      </c>
      <c r="I11" s="22" t="n">
        <f aca="false">SUM(I4:I10)</f>
        <v>1419604496.67922</v>
      </c>
      <c r="J11" s="22" t="n">
        <f aca="false">SUM(J4:J10)</f>
        <v>1778183555.34381</v>
      </c>
      <c r="K11" s="22" t="n">
        <f aca="false">SUM(K4:K10)</f>
        <v>2227868369.24323</v>
      </c>
      <c r="L11" s="22" t="n">
        <f aca="false">SUM(L4:L10)</f>
        <v>2791354277.76196</v>
      </c>
      <c r="M11" s="22" t="n">
        <f aca="false">SUM(M4:M10)</f>
        <v>3497034718.56754</v>
      </c>
      <c r="N11" s="22" t="n">
        <f aca="false">SUM(N4:N10)</f>
        <v>4380421125.87484</v>
      </c>
      <c r="O11" s="22" t="n">
        <f aca="false">SUM(O4:O10)</f>
        <v>5485918727.55084</v>
      </c>
      <c r="P11" s="22" t="n">
        <f aca="false">SUM(P4:P10)</f>
        <v>6869047030.00468</v>
      </c>
    </row>
    <row r="13" customFormat="false" ht="14.25" hidden="false" customHeight="true" outlineLevel="0" collapsed="false">
      <c r="A13" s="10" t="s">
        <v>146</v>
      </c>
      <c r="B13" s="11"/>
      <c r="C13" s="11"/>
      <c r="D13" s="11"/>
      <c r="E13" s="11"/>
      <c r="F13" s="11"/>
      <c r="G13" s="11"/>
      <c r="H13" s="11"/>
      <c r="I13" s="11"/>
      <c r="J13" s="11"/>
      <c r="K13" s="11"/>
      <c r="L13" s="11"/>
      <c r="M13" s="11"/>
      <c r="N13" s="11"/>
      <c r="O13" s="11"/>
      <c r="P13" s="11"/>
    </row>
    <row r="14" customFormat="false" ht="14.25" hidden="false" customHeight="true" outlineLevel="0" collapsed="false">
      <c r="A14" s="5" t="s">
        <v>420</v>
      </c>
      <c r="E14" s="21" t="n">
        <f aca="false">-Financing!E12</f>
        <v>-514131451.562107</v>
      </c>
      <c r="F14" s="21" t="n">
        <f aca="false">-Financing!F12</f>
        <v>-514131451.562107</v>
      </c>
      <c r="G14" s="21" t="n">
        <f aca="false">-Financing!G12</f>
        <v>-514131451.562107</v>
      </c>
      <c r="H14" s="21" t="n">
        <f aca="false">-Financing!H12</f>
        <v>-514131451.562107</v>
      </c>
      <c r="I14" s="21" t="n">
        <f aca="false">-Financing!I12</f>
        <v>-0</v>
      </c>
      <c r="J14" s="21" t="n">
        <f aca="false">-Financing!J12</f>
        <v>-0</v>
      </c>
      <c r="K14" s="21" t="n">
        <f aca="false">-Financing!K12</f>
        <v>-0</v>
      </c>
      <c r="L14" s="21" t="n">
        <f aca="false">-Financing!L12</f>
        <v>-0</v>
      </c>
      <c r="M14" s="21" t="n">
        <f aca="false">-Financing!M12</f>
        <v>-0</v>
      </c>
      <c r="N14" s="21" t="n">
        <f aca="false">-Financing!N12</f>
        <v>-0</v>
      </c>
      <c r="O14" s="21" t="n">
        <f aca="false">-Financing!O12</f>
        <v>-0</v>
      </c>
      <c r="P14" s="21" t="n">
        <f aca="false">-Financing!P12</f>
        <v>-0</v>
      </c>
    </row>
    <row r="15" customFormat="false" ht="14.25" hidden="false" customHeight="true" outlineLevel="0" collapsed="false">
      <c r="A15" s="5" t="s">
        <v>421</v>
      </c>
      <c r="E15" s="21" t="n">
        <f aca="false">IF(1=1,0,-MAX(PL!E21*PAYOUT,0))</f>
        <v>0</v>
      </c>
      <c r="F15" s="21" t="n">
        <f aca="false">IF(2=1,0,-MAX(PL!F21*PAYOUT,0))</f>
        <v>-186784253.056735</v>
      </c>
      <c r="G15" s="21" t="n">
        <f aca="false">IF(3=1,0,-MAX(PL!G21*PAYOUT,0))</f>
        <v>-330466005.892298</v>
      </c>
      <c r="H15" s="21" t="n">
        <f aca="false">IF(4=1,0,-MAX(PL!H21*PAYOUT,0))</f>
        <v>-470018385.200933</v>
      </c>
      <c r="I15" s="21" t="n">
        <f aca="false">IF(5=1,0,-MAX(PL!I21*PAYOUT,0))</f>
        <v>-643616864.105305</v>
      </c>
      <c r="J15" s="21" t="n">
        <f aca="false">IF(6=1,0,-MAX(PL!J21*PAYOUT,0))</f>
        <v>-823550160.266498</v>
      </c>
      <c r="K15" s="21" t="n">
        <f aca="false">IF(7=1,0,-MAX(PL!K21*PAYOUT,0))</f>
        <v>-1048907580.67932</v>
      </c>
      <c r="L15" s="21" t="n">
        <f aca="false">IF(8=1,0,-MAX(PL!L21*PAYOUT,0))</f>
        <v>-1338233178.5735</v>
      </c>
      <c r="M15" s="21" t="n">
        <f aca="false">IF(9=1,0,-MAX(PL!M21*PAYOUT,0))</f>
        <v>-1691403007.59269</v>
      </c>
      <c r="N15" s="21" t="n">
        <f aca="false">IF(10=1,0,-MAX(PL!N21*PAYOUT,0))</f>
        <v>-2133359898.13945</v>
      </c>
      <c r="O15" s="21" t="n">
        <f aca="false">IF(11=1,0,-MAX(PL!O21*PAYOUT,0))</f>
        <v>-2686319648.49195</v>
      </c>
      <c r="P15" s="21" t="n">
        <f aca="false">IF(12=1,0,-MAX(PL!P21*PAYOUT,0))</f>
        <v>-3378052559.33046</v>
      </c>
    </row>
    <row r="16" customFormat="false" ht="14.25" hidden="false" customHeight="true" outlineLevel="0" collapsed="false">
      <c r="A16" s="35" t="s">
        <v>422</v>
      </c>
      <c r="E16" s="40" t="n">
        <f aca="false">-E15*0.3*DIV_WHT</f>
        <v>-0</v>
      </c>
      <c r="F16" s="40" t="n">
        <f aca="false">-F15*0.3*DIV_WHT</f>
        <v>8405291.38755308</v>
      </c>
      <c r="G16" s="40" t="n">
        <f aca="false">-G15*0.3*DIV_WHT</f>
        <v>14870970.2651534</v>
      </c>
      <c r="H16" s="40" t="n">
        <f aca="false">-H15*0.3*DIV_WHT</f>
        <v>21150827.334042</v>
      </c>
      <c r="I16" s="40" t="n">
        <f aca="false">-I15*0.3*DIV_WHT</f>
        <v>28962758.8847387</v>
      </c>
      <c r="J16" s="40" t="n">
        <f aca="false">-J15*0.3*DIV_WHT</f>
        <v>37059757.2119924</v>
      </c>
      <c r="K16" s="40" t="n">
        <f aca="false">-K15*0.3*DIV_WHT</f>
        <v>47200841.1305696</v>
      </c>
      <c r="L16" s="40" t="n">
        <f aca="false">-L15*0.3*DIV_WHT</f>
        <v>60220493.0358075</v>
      </c>
      <c r="M16" s="40" t="n">
        <f aca="false">-M15*0.3*DIV_WHT</f>
        <v>76113135.341671</v>
      </c>
      <c r="N16" s="40" t="n">
        <f aca="false">-N15*0.3*DIV_WHT</f>
        <v>96001195.4162754</v>
      </c>
      <c r="O16" s="40" t="n">
        <f aca="false">-O15*0.3*DIV_WHT</f>
        <v>120884384.182138</v>
      </c>
      <c r="P16" s="40" t="n">
        <f aca="false">-P15*0.3*DIV_WHT</f>
        <v>152012365.169871</v>
      </c>
    </row>
    <row r="17" customFormat="false" ht="14.25" hidden="false" customHeight="true" outlineLevel="0" collapsed="false">
      <c r="A17" s="4" t="s">
        <v>423</v>
      </c>
      <c r="E17" s="22" t="n">
        <f aca="false">E14+E15</f>
        <v>-514131451.562107</v>
      </c>
      <c r="F17" s="22" t="n">
        <f aca="false">F14+F15</f>
        <v>-700915704.618842</v>
      </c>
      <c r="G17" s="22" t="n">
        <f aca="false">G14+G15</f>
        <v>-844597457.454405</v>
      </c>
      <c r="H17" s="22" t="n">
        <f aca="false">H14+H15</f>
        <v>-984149836.76304</v>
      </c>
      <c r="I17" s="22" t="n">
        <f aca="false">I14+I15</f>
        <v>-643616864.105305</v>
      </c>
      <c r="J17" s="22" t="n">
        <f aca="false">J14+J15</f>
        <v>-823550160.266498</v>
      </c>
      <c r="K17" s="22" t="n">
        <f aca="false">K14+K15</f>
        <v>-1048907580.67932</v>
      </c>
      <c r="L17" s="22" t="n">
        <f aca="false">L14+L15</f>
        <v>-1338233178.5735</v>
      </c>
      <c r="M17" s="22" t="n">
        <f aca="false">M14+M15</f>
        <v>-1691403007.59269</v>
      </c>
      <c r="N17" s="22" t="n">
        <f aca="false">N14+N15</f>
        <v>-2133359898.13945</v>
      </c>
      <c r="O17" s="22" t="n">
        <f aca="false">O14+O15</f>
        <v>-2686319648.49195</v>
      </c>
      <c r="P17" s="22" t="n">
        <f aca="false">P14+P15</f>
        <v>-3378052559.33046</v>
      </c>
    </row>
    <row r="19" customFormat="false" ht="14.25" hidden="false" customHeight="true" outlineLevel="0" collapsed="false">
      <c r="A19" s="4" t="s">
        <v>424</v>
      </c>
      <c r="E19" s="22" t="n">
        <f aca="false">E11+E17</f>
        <v>1866355642.11196</v>
      </c>
      <c r="F19" s="22" t="n">
        <f aca="false">F11+F17</f>
        <v>27761148.9037125</v>
      </c>
      <c r="G19" s="22" t="n">
        <f aca="false">G11+G17</f>
        <v>109422232.521987</v>
      </c>
      <c r="H19" s="22" t="n">
        <f aca="false">H11+H17</f>
        <v>175555694.440028</v>
      </c>
      <c r="I19" s="22" t="n">
        <f aca="false">I11+I17</f>
        <v>775987632.573916</v>
      </c>
      <c r="J19" s="22" t="n">
        <f aca="false">J11+J17</f>
        <v>954633395.077315</v>
      </c>
      <c r="K19" s="22" t="n">
        <f aca="false">K11+K17</f>
        <v>1178960788.56391</v>
      </c>
      <c r="L19" s="22" t="n">
        <f aca="false">L11+L17</f>
        <v>1453121099.18846</v>
      </c>
      <c r="M19" s="22" t="n">
        <f aca="false">M11+M17</f>
        <v>1805631710.97485</v>
      </c>
      <c r="N19" s="22" t="n">
        <f aca="false">N11+N17</f>
        <v>2247061227.73539</v>
      </c>
      <c r="O19" s="22" t="n">
        <f aca="false">O11+O17</f>
        <v>2799599079.0589</v>
      </c>
      <c r="P19" s="22" t="n">
        <f aca="false">P11+P17</f>
        <v>3490994470.67422</v>
      </c>
    </row>
    <row r="20" customFormat="false" ht="14.25" hidden="false" customHeight="true" outlineLevel="0" collapsed="false">
      <c r="A20" s="5" t="s">
        <v>425</v>
      </c>
      <c r="E20" s="21" t="n">
        <f aca="false">0</f>
        <v>0</v>
      </c>
      <c r="F20" s="21" t="n">
        <f aca="false">E21</f>
        <v>1866355642.11196</v>
      </c>
      <c r="G20" s="21" t="n">
        <f aca="false">F21</f>
        <v>1894116791.01567</v>
      </c>
      <c r="H20" s="21" t="n">
        <f aca="false">G21</f>
        <v>2003539023.53766</v>
      </c>
      <c r="I20" s="21" t="n">
        <f aca="false">H21</f>
        <v>2179094717.97769</v>
      </c>
      <c r="J20" s="21" t="n">
        <f aca="false">I21</f>
        <v>2955082350.5516</v>
      </c>
      <c r="K20" s="21" t="n">
        <f aca="false">J21</f>
        <v>3909715745.62892</v>
      </c>
      <c r="L20" s="21" t="n">
        <f aca="false">K21</f>
        <v>5088676534.19282</v>
      </c>
      <c r="M20" s="21" t="n">
        <f aca="false">L21</f>
        <v>6541797633.38128</v>
      </c>
      <c r="N20" s="21" t="n">
        <f aca="false">M21</f>
        <v>8347429344.35613</v>
      </c>
      <c r="O20" s="21" t="n">
        <f aca="false">N21</f>
        <v>10594490572.0915</v>
      </c>
      <c r="P20" s="21" t="n">
        <f aca="false">O21</f>
        <v>13394089651.1504</v>
      </c>
    </row>
    <row r="21" customFormat="false" ht="14.25" hidden="false" customHeight="true" outlineLevel="0" collapsed="false">
      <c r="A21" s="4" t="s">
        <v>426</v>
      </c>
      <c r="E21" s="28" t="n">
        <f aca="false">E20+E19</f>
        <v>1866355642.11196</v>
      </c>
      <c r="F21" s="28" t="n">
        <f aca="false">F20+F19</f>
        <v>1894116791.01567</v>
      </c>
      <c r="G21" s="28" t="n">
        <f aca="false">G20+G19</f>
        <v>2003539023.53766</v>
      </c>
      <c r="H21" s="28" t="n">
        <f aca="false">H20+H19</f>
        <v>2179094717.97769</v>
      </c>
      <c r="I21" s="28" t="n">
        <f aca="false">I20+I19</f>
        <v>2955082350.5516</v>
      </c>
      <c r="J21" s="28" t="n">
        <f aca="false">J20+J19</f>
        <v>3909715745.62892</v>
      </c>
      <c r="K21" s="28" t="n">
        <f aca="false">K20+K19</f>
        <v>5088676534.19282</v>
      </c>
      <c r="L21" s="28" t="n">
        <f aca="false">L20+L19</f>
        <v>6541797633.38128</v>
      </c>
      <c r="M21" s="28" t="n">
        <f aca="false">M20+M19</f>
        <v>8347429344.35613</v>
      </c>
      <c r="N21" s="28" t="n">
        <f aca="false">N20+N19</f>
        <v>10594490572.0915</v>
      </c>
      <c r="O21" s="28" t="n">
        <f aca="false">O20+O19</f>
        <v>13394089651.1504</v>
      </c>
      <c r="P21" s="28" t="n">
        <f aca="false">P20+P19</f>
        <v>16885084121.8246</v>
      </c>
    </row>
    <row r="23" customFormat="false" ht="14.25" hidden="false" customHeight="true" outlineLevel="0" collapsed="false">
      <c r="A23" s="4" t="s">
        <v>427</v>
      </c>
      <c r="E23" s="22" t="n">
        <f aca="false">E11</f>
        <v>2380487093.67407</v>
      </c>
      <c r="F23" s="22" t="n">
        <f aca="false">F11</f>
        <v>728676853.522555</v>
      </c>
      <c r="G23" s="22" t="n">
        <f aca="false">G11</f>
        <v>954019689.976392</v>
      </c>
      <c r="H23" s="22" t="n">
        <f aca="false">H11</f>
        <v>1159705531.20307</v>
      </c>
      <c r="I23" s="22" t="n">
        <f aca="false">I11</f>
        <v>1419604496.67922</v>
      </c>
      <c r="J23" s="22" t="n">
        <f aca="false">J11</f>
        <v>1778183555.34381</v>
      </c>
      <c r="K23" s="22" t="n">
        <f aca="false">K11</f>
        <v>2227868369.24323</v>
      </c>
      <c r="L23" s="22" t="n">
        <f aca="false">L11</f>
        <v>2791354277.76196</v>
      </c>
      <c r="M23" s="22" t="n">
        <f aca="false">M11</f>
        <v>3497034718.56754</v>
      </c>
      <c r="N23" s="22" t="n">
        <f aca="false">N11</f>
        <v>4380421125.87484</v>
      </c>
      <c r="O23" s="22" t="n">
        <f aca="false">O11</f>
        <v>5485918727.55084</v>
      </c>
      <c r="P23" s="22" t="n">
        <f aca="false">P11</f>
        <v>6869047030.00468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
  <sheetViews>
    <sheetView showFormulas="false" showGridLines="false" showRowColHeaders="true" showZeros="true" rightToLeft="false" tabSelected="false" showOutlineSymbols="true" defaultGridColor="true" view="normal" topLeftCell="A3" colorId="64" zoomScale="100" zoomScaleNormal="100" zoomScalePageLayoutView="100" workbookViewId="0">
      <selection pane="topLeft" activeCell="E20" activeCellId="0" sqref="E20"/>
    </sheetView>
  </sheetViews>
  <sheetFormatPr defaultColWidth="8.6796875" defaultRowHeight="14.25" zeroHeight="false" outlineLevelRow="0" outlineLevelCol="0"/>
  <cols>
    <col collapsed="false" customWidth="true" hidden="false" outlineLevel="0" max="1" min="1" style="1" width="44"/>
    <col collapsed="false" customWidth="true" hidden="false" outlineLevel="0" max="11" min="5" style="1" width="11.27"/>
    <col collapsed="false" customWidth="true" hidden="false" outlineLevel="0" max="16" min="12" style="1" width="12.18"/>
  </cols>
  <sheetData>
    <row r="1" customFormat="false" ht="18" hidden="false" customHeight="true" outlineLevel="0" collapsed="false">
      <c r="A1" s="8" t="s">
        <v>428</v>
      </c>
    </row>
    <row r="2" customFormat="false" ht="14.25" hidden="false" customHeight="true" outlineLevel="0" collapsed="false">
      <c r="A2" s="4" t="s">
        <v>253</v>
      </c>
      <c r="E2" s="31" t="s">
        <v>257</v>
      </c>
      <c r="F2" s="31" t="s">
        <v>258</v>
      </c>
      <c r="G2" s="31" t="s">
        <v>259</v>
      </c>
      <c r="H2" s="31" t="s">
        <v>260</v>
      </c>
      <c r="I2" s="31" t="s">
        <v>261</v>
      </c>
      <c r="J2" s="31" t="s">
        <v>262</v>
      </c>
      <c r="K2" s="31" t="s">
        <v>263</v>
      </c>
      <c r="L2" s="31" t="s">
        <v>264</v>
      </c>
      <c r="M2" s="31" t="s">
        <v>265</v>
      </c>
      <c r="N2" s="31" t="s">
        <v>266</v>
      </c>
      <c r="O2" s="31" t="s">
        <v>267</v>
      </c>
      <c r="P2" s="31" t="s">
        <v>268</v>
      </c>
    </row>
    <row r="3" customFormat="false" ht="14.25" hidden="false" customHeight="true" outlineLevel="0" collapsed="false">
      <c r="A3" s="10" t="s">
        <v>429</v>
      </c>
      <c r="B3" s="11"/>
      <c r="C3" s="11"/>
      <c r="D3" s="11"/>
      <c r="E3" s="11"/>
      <c r="F3" s="11"/>
      <c r="G3" s="11"/>
      <c r="H3" s="11"/>
      <c r="I3" s="11"/>
      <c r="J3" s="11"/>
      <c r="K3" s="11"/>
      <c r="L3" s="11"/>
      <c r="M3" s="11"/>
      <c r="N3" s="11"/>
      <c r="O3" s="11"/>
      <c r="P3" s="11"/>
    </row>
    <row r="4" customFormat="false" ht="14.25" hidden="false" customHeight="true" outlineLevel="0" collapsed="false">
      <c r="A4" s="5" t="s">
        <v>337</v>
      </c>
      <c r="E4" s="21" t="n">
        <f aca="false">MAX(IP_V-AssetSplit!E52*(IP_V/(IP_V+PPE_V)),0)</f>
        <v>4991020851.43553</v>
      </c>
      <c r="F4" s="21" t="n">
        <f aca="false">MAX(IP_V-AssetSplit!F52*(IP_V/(IP_V+PPE_V)),0)</f>
        <v>4894481300.28423</v>
      </c>
      <c r="G4" s="21" t="n">
        <f aca="false">MAX(IP_V-AssetSplit!G52*(IP_V/(IP_V+PPE_V)),0)</f>
        <v>4797941749.13294</v>
      </c>
      <c r="H4" s="21" t="n">
        <f aca="false">MAX(IP_V-AssetSplit!H52*(IP_V/(IP_V+PPE_V)),0)</f>
        <v>4701402197.98164</v>
      </c>
      <c r="I4" s="21" t="n">
        <f aca="false">MAX(IP_V-AssetSplit!I52*(IP_V/(IP_V+PPE_V)),0)</f>
        <v>4604862646.83034</v>
      </c>
      <c r="J4" s="21" t="n">
        <f aca="false">MAX(IP_V-AssetSplit!J52*(IP_V/(IP_V+PPE_V)),0)</f>
        <v>4508323095.67904</v>
      </c>
      <c r="K4" s="21" t="n">
        <f aca="false">MAX(IP_V-AssetSplit!K52*(IP_V/(IP_V+PPE_V)),0)</f>
        <v>4411783544.52774</v>
      </c>
      <c r="L4" s="21" t="n">
        <f aca="false">MAX(IP_V-AssetSplit!L52*(IP_V/(IP_V+PPE_V)),0)</f>
        <v>4334723567.14829</v>
      </c>
      <c r="M4" s="21" t="n">
        <f aca="false">MAX(IP_V-AssetSplit!M52*(IP_V/(IP_V+PPE_V)),0)</f>
        <v>4257663589.76885</v>
      </c>
      <c r="N4" s="21" t="n">
        <f aca="false">MAX(IP_V-AssetSplit!N52*(IP_V/(IP_V+PPE_V)),0)</f>
        <v>4180603612.3894</v>
      </c>
      <c r="O4" s="21" t="n">
        <f aca="false">MAX(IP_V-AssetSplit!O52*(IP_V/(IP_V+PPE_V)),0)</f>
        <v>4103543635.00995</v>
      </c>
      <c r="P4" s="21" t="n">
        <f aca="false">MAX(IP_V-AssetSplit!P52*(IP_V/(IP_V+PPE_V)),0)</f>
        <v>4026483657.6305</v>
      </c>
    </row>
    <row r="5" customFormat="false" ht="14.25" hidden="false" customHeight="true" outlineLevel="0" collapsed="false">
      <c r="A5" s="5" t="s">
        <v>430</v>
      </c>
      <c r="E5" s="21" t="n">
        <f aca="false">MAX(PPE_V-AssetSplit!E52*(PPE_V/(IP_V+PPE_V)),0)</f>
        <v>258254776.31066</v>
      </c>
      <c r="F5" s="21" t="n">
        <f aca="false">MAX(PPE_V-AssetSplit!F52*(PPE_V/(IP_V+PPE_V)),0)</f>
        <v>253259445.509639</v>
      </c>
      <c r="G5" s="21" t="n">
        <f aca="false">MAX(PPE_V-AssetSplit!G52*(PPE_V/(IP_V+PPE_V)),0)</f>
        <v>248264114.708619</v>
      </c>
      <c r="H5" s="21" t="n">
        <f aca="false">MAX(PPE_V-AssetSplit!H52*(PPE_V/(IP_V+PPE_V)),0)</f>
        <v>243268783.907599</v>
      </c>
      <c r="I5" s="21" t="n">
        <f aca="false">MAX(PPE_V-AssetSplit!I52*(PPE_V/(IP_V+PPE_V)),0)</f>
        <v>238273453.106579</v>
      </c>
      <c r="J5" s="21" t="n">
        <f aca="false">MAX(PPE_V-AssetSplit!J52*(PPE_V/(IP_V+PPE_V)),0)</f>
        <v>233278122.305559</v>
      </c>
      <c r="K5" s="21" t="n">
        <f aca="false">MAX(PPE_V-AssetSplit!K52*(PPE_V/(IP_V+PPE_V)),0)</f>
        <v>228282791.504538</v>
      </c>
      <c r="L5" s="21" t="n">
        <f aca="false">MAX(PPE_V-AssetSplit!L52*(PPE_V/(IP_V+PPE_V)),0)</f>
        <v>224295409.401154</v>
      </c>
      <c r="M5" s="21" t="n">
        <f aca="false">MAX(PPE_V-AssetSplit!M52*(PPE_V/(IP_V+PPE_V)),0)</f>
        <v>220308027.297769</v>
      </c>
      <c r="N5" s="21" t="n">
        <f aca="false">MAX(PPE_V-AssetSplit!N52*(PPE_V/(IP_V+PPE_V)),0)</f>
        <v>216320645.194384</v>
      </c>
      <c r="O5" s="21" t="n">
        <f aca="false">MAX(PPE_V-AssetSplit!O52*(PPE_V/(IP_V+PPE_V)),0)</f>
        <v>212333263.091</v>
      </c>
      <c r="P5" s="21" t="n">
        <f aca="false">MAX(PPE_V-AssetSplit!P52*(PPE_V/(IP_V+PPE_V)),0)</f>
        <v>208345880.987615</v>
      </c>
    </row>
    <row r="6" customFormat="false" ht="14.25" hidden="false" customHeight="true" outlineLevel="0" collapsed="false">
      <c r="A6" s="5" t="s">
        <v>431</v>
      </c>
      <c r="E6" s="21" t="n">
        <f aca="false">IF(1=1,0,0)</f>
        <v>0</v>
      </c>
      <c r="F6" s="21" t="n">
        <f aca="false">IF(2=1,0,0)</f>
        <v>0</v>
      </c>
      <c r="G6" s="21" t="n">
        <f aca="false">IF(3=1,0,0)</f>
        <v>0</v>
      </c>
      <c r="H6" s="21" t="n">
        <f aca="false">IF(4=1,0,0)</f>
        <v>0</v>
      </c>
      <c r="I6" s="21" t="n">
        <f aca="false">IF(5=1,0,0)</f>
        <v>0</v>
      </c>
      <c r="J6" s="21" t="n">
        <f aca="false">IF(6=1,0,0)</f>
        <v>0</v>
      </c>
      <c r="K6" s="21" t="n">
        <f aca="false">IF(7=1,0,0)</f>
        <v>0</v>
      </c>
      <c r="L6" s="21" t="n">
        <f aca="false">IF(8=1,0,0)</f>
        <v>0</v>
      </c>
      <c r="M6" s="21" t="n">
        <f aca="false">IF(9=1,0,0)</f>
        <v>0</v>
      </c>
      <c r="N6" s="21" t="n">
        <f aca="false">IF(10=1,0,0)</f>
        <v>0</v>
      </c>
      <c r="O6" s="21" t="n">
        <f aca="false">IF(11=1,0,0)</f>
        <v>0</v>
      </c>
      <c r="P6" s="21" t="n">
        <f aca="false">IF(12=1,0,0)</f>
        <v>0</v>
      </c>
    </row>
    <row r="7" customFormat="false" ht="14.25" hidden="false" customHeight="true" outlineLevel="0" collapsed="false">
      <c r="A7" s="5" t="s">
        <v>432</v>
      </c>
      <c r="E7" s="21" t="n">
        <f aca="false">CashFlow!E21</f>
        <v>1866355642.11196</v>
      </c>
      <c r="F7" s="21" t="n">
        <f aca="false">CashFlow!F21</f>
        <v>1894116791.01567</v>
      </c>
      <c r="G7" s="21" t="n">
        <f aca="false">CashFlow!G21</f>
        <v>2003539023.53766</v>
      </c>
      <c r="H7" s="21" t="n">
        <f aca="false">CashFlow!H21</f>
        <v>2179094717.97769</v>
      </c>
      <c r="I7" s="21" t="n">
        <f aca="false">CashFlow!I21</f>
        <v>2955082350.5516</v>
      </c>
      <c r="J7" s="21" t="n">
        <f aca="false">CashFlow!J21</f>
        <v>3909715745.62892</v>
      </c>
      <c r="K7" s="21" t="n">
        <f aca="false">CashFlow!K21</f>
        <v>5088676534.19282</v>
      </c>
      <c r="L7" s="21" t="n">
        <f aca="false">CashFlow!L21</f>
        <v>6541797633.38128</v>
      </c>
      <c r="M7" s="21" t="n">
        <f aca="false">CashFlow!M21</f>
        <v>8347429344.35613</v>
      </c>
      <c r="N7" s="21" t="n">
        <f aca="false">CashFlow!N21</f>
        <v>10594490572.0915</v>
      </c>
      <c r="O7" s="21" t="n">
        <f aca="false">CashFlow!O21</f>
        <v>13394089651.1504</v>
      </c>
      <c r="P7" s="21" t="n">
        <f aca="false">CashFlow!P21</f>
        <v>16885084121.8246</v>
      </c>
    </row>
    <row r="8" customFormat="false" ht="14.25" hidden="false" customHeight="true" outlineLevel="0" collapsed="false">
      <c r="A8" s="4" t="s">
        <v>433</v>
      </c>
      <c r="E8" s="28" t="n">
        <f aca="false">SUM(E4:E7)</f>
        <v>7115631269.85815</v>
      </c>
      <c r="F8" s="28" t="n">
        <f aca="false">SUM(F4:F7)</f>
        <v>7041857536.80954</v>
      </c>
      <c r="G8" s="28" t="n">
        <f aca="false">SUM(G4:G7)</f>
        <v>7049744887.37921</v>
      </c>
      <c r="H8" s="28" t="n">
        <f aca="false">SUM(H4:H7)</f>
        <v>7123765699.86692</v>
      </c>
      <c r="I8" s="28" t="n">
        <f aca="false">SUM(I4:I7)</f>
        <v>7798218450.48852</v>
      </c>
      <c r="J8" s="28" t="n">
        <f aca="false">SUM(J4:J7)</f>
        <v>8651316963.61352</v>
      </c>
      <c r="K8" s="28" t="n">
        <f aca="false">SUM(K4:K7)</f>
        <v>9728742870.22511</v>
      </c>
      <c r="L8" s="28" t="n">
        <f aca="false">SUM(L4:L7)</f>
        <v>11100816609.9307</v>
      </c>
      <c r="M8" s="28" t="n">
        <f aca="false">SUM(M4:M7)</f>
        <v>12825400961.4227</v>
      </c>
      <c r="N8" s="28" t="n">
        <f aca="false">SUM(N4:N7)</f>
        <v>14991414829.6753</v>
      </c>
      <c r="O8" s="28" t="n">
        <f aca="false">SUM(O4:O7)</f>
        <v>17709966549.2514</v>
      </c>
      <c r="P8" s="28" t="n">
        <f aca="false">SUM(P4:P7)</f>
        <v>21119913660.4428</v>
      </c>
    </row>
    <row r="10" customFormat="false" ht="14.25" hidden="false" customHeight="true" outlineLevel="0" collapsed="false">
      <c r="A10" s="10" t="s">
        <v>434</v>
      </c>
      <c r="B10" s="11"/>
      <c r="C10" s="11"/>
      <c r="D10" s="11"/>
      <c r="E10" s="11"/>
      <c r="F10" s="11"/>
      <c r="G10" s="11"/>
      <c r="H10" s="11"/>
      <c r="I10" s="11"/>
      <c r="J10" s="11"/>
      <c r="K10" s="11"/>
      <c r="L10" s="11"/>
      <c r="M10" s="11"/>
      <c r="N10" s="11"/>
      <c r="O10" s="11"/>
      <c r="P10" s="11"/>
    </row>
    <row r="11" customFormat="false" ht="14.25" hidden="false" customHeight="true" outlineLevel="0" collapsed="false">
      <c r="A11" s="5" t="s">
        <v>435</v>
      </c>
      <c r="E11" s="21" t="n">
        <f aca="false">Financing!E11</f>
        <v>1083008381.76277</v>
      </c>
      <c r="F11" s="21" t="n">
        <f aca="false">Financing!F11</f>
        <v>785478606.553219</v>
      </c>
      <c r="G11" s="21" t="n">
        <f aca="false">Financing!G11</f>
        <v>428442876.301756</v>
      </c>
      <c r="H11" s="21" t="n">
        <f aca="false">Financing!H11</f>
        <v>0</v>
      </c>
      <c r="I11" s="21" t="n">
        <f aca="false">Financing!I11</f>
        <v>0</v>
      </c>
      <c r="J11" s="21" t="n">
        <f aca="false">Financing!J11</f>
        <v>0</v>
      </c>
      <c r="K11" s="21" t="n">
        <f aca="false">Financing!K11</f>
        <v>0</v>
      </c>
      <c r="L11" s="21" t="n">
        <f aca="false">Financing!L11</f>
        <v>0</v>
      </c>
      <c r="M11" s="21" t="n">
        <f aca="false">Financing!M11</f>
        <v>0</v>
      </c>
      <c r="N11" s="21" t="n">
        <f aca="false">Financing!N11</f>
        <v>0</v>
      </c>
      <c r="O11" s="21" t="n">
        <f aca="false">Financing!O11</f>
        <v>0</v>
      </c>
      <c r="P11" s="21" t="n">
        <f aca="false">Financing!P11</f>
        <v>0</v>
      </c>
    </row>
    <row r="12" customFormat="false" ht="14.25" hidden="false" customHeight="true" outlineLevel="0" collapsed="false">
      <c r="A12" s="5" t="s">
        <v>436</v>
      </c>
      <c r="E12" s="21" t="n">
        <f aca="false">MAX(RETAIL_TOT*(1-SOLD_PCT)*KEY_MONEY*(1-1/10),0)</f>
        <v>0</v>
      </c>
      <c r="F12" s="21" t="n">
        <f aca="false">MAX(RETAIL_TOT*(1-SOLD_PCT)*KEY_MONEY*(1-2/10),0)</f>
        <v>0</v>
      </c>
      <c r="G12" s="21" t="n">
        <f aca="false">MAX(RETAIL_TOT*(1-SOLD_PCT)*KEY_MONEY*(1-3/10),0)</f>
        <v>0</v>
      </c>
      <c r="H12" s="21" t="n">
        <f aca="false">MAX(RETAIL_TOT*(1-SOLD_PCT)*KEY_MONEY*(1-4/10),0)</f>
        <v>0</v>
      </c>
      <c r="I12" s="21" t="n">
        <f aca="false">MAX(RETAIL_TOT*(1-SOLD_PCT)*KEY_MONEY*(1-5/10),0)</f>
        <v>0</v>
      </c>
      <c r="J12" s="21" t="n">
        <f aca="false">MAX(RETAIL_TOT*(1-SOLD_PCT)*KEY_MONEY*(1-6/10),0)</f>
        <v>0</v>
      </c>
      <c r="K12" s="21" t="n">
        <f aca="false">MAX(RETAIL_TOT*(1-SOLD_PCT)*KEY_MONEY*(1-7/10),0)</f>
        <v>0</v>
      </c>
      <c r="L12" s="21" t="n">
        <f aca="false">MAX(RETAIL_TOT*(1-SOLD_PCT)*KEY_MONEY*(1-8/10),0)</f>
        <v>0</v>
      </c>
      <c r="M12" s="21" t="n">
        <f aca="false">MAX(RETAIL_TOT*(1-SOLD_PCT)*KEY_MONEY*(1-9/10),0)</f>
        <v>0</v>
      </c>
      <c r="N12" s="21" t="n">
        <f aca="false">MAX(RETAIL_TOT*(1-SOLD_PCT)*KEY_MONEY*(1-10/10),0)</f>
        <v>0</v>
      </c>
      <c r="O12" s="21" t="n">
        <f aca="false">MAX(RETAIL_TOT*(1-SOLD_PCT)*KEY_MONEY*(1-11/10),0)</f>
        <v>0</v>
      </c>
      <c r="P12" s="21" t="n">
        <f aca="false">MAX(RETAIL_TOT*(1-SOLD_PCT)*KEY_MONEY*(1-12/10),0)</f>
        <v>0</v>
      </c>
    </row>
    <row r="13" customFormat="false" ht="14.25" hidden="false" customHeight="true" outlineLevel="0" collapsed="false">
      <c r="A13" s="5" t="s">
        <v>437</v>
      </c>
      <c r="E13" s="21" t="n">
        <f aca="false">Tax!E29</f>
        <v>469599860.492011</v>
      </c>
      <c r="F13" s="21" t="n">
        <f aca="false">Tax!F29</f>
        <v>506571649.596223</v>
      </c>
      <c r="G13" s="21" t="n">
        <f aca="false">Tax!G29</f>
        <v>541028724.525058</v>
      </c>
      <c r="H13" s="21" t="n">
        <f aca="false">Tax!H29</f>
        <v>573474028.113591</v>
      </c>
      <c r="I13" s="21" t="n">
        <f aca="false">Tax!I29</f>
        <v>604309914.629883</v>
      </c>
      <c r="J13" s="21" t="n">
        <f aca="false">Tax!J29</f>
        <v>633858267.488382</v>
      </c>
      <c r="K13" s="21" t="n">
        <f aca="false">Tax!K29</f>
        <v>662376593.420647</v>
      </c>
      <c r="L13" s="21" t="n">
        <f aca="false">Tax!L29</f>
        <v>696217154.552769</v>
      </c>
      <c r="M13" s="21" t="n">
        <f aca="false">Tax!M29</f>
        <v>729398498.452102</v>
      </c>
      <c r="N13" s="21" t="n">
        <f aca="false">Tax!N29</f>
        <v>762052468.565202</v>
      </c>
      <c r="O13" s="21" t="n">
        <f aca="false">Tax!O29</f>
        <v>794284539.649316</v>
      </c>
      <c r="P13" s="21" t="n">
        <f aca="false">Tax!P29</f>
        <v>826179091.510243</v>
      </c>
    </row>
    <row r="14" customFormat="false" ht="14.25" hidden="false" customHeight="true" outlineLevel="0" collapsed="false">
      <c r="A14" s="4" t="s">
        <v>438</v>
      </c>
      <c r="E14" s="22" t="n">
        <f aca="false">SUM(E11:E13)</f>
        <v>1552608242.25478</v>
      </c>
      <c r="F14" s="22" t="n">
        <f aca="false">SUM(F11:F13)</f>
        <v>1292050256.14944</v>
      </c>
      <c r="G14" s="22" t="n">
        <f aca="false">SUM(G11:G13)</f>
        <v>969471600.826814</v>
      </c>
      <c r="H14" s="22" t="n">
        <f aca="false">SUM(H11:H13)</f>
        <v>573474028.113591</v>
      </c>
      <c r="I14" s="22" t="n">
        <f aca="false">SUM(I11:I13)</f>
        <v>604309914.629883</v>
      </c>
      <c r="J14" s="22" t="n">
        <f aca="false">SUM(J11:J13)</f>
        <v>633858267.488382</v>
      </c>
      <c r="K14" s="22" t="n">
        <f aca="false">SUM(K11:K13)</f>
        <v>662376593.420647</v>
      </c>
      <c r="L14" s="22" t="n">
        <f aca="false">SUM(L11:L13)</f>
        <v>696217154.552769</v>
      </c>
      <c r="M14" s="22" t="n">
        <f aca="false">SUM(M11:M13)</f>
        <v>729398498.452102</v>
      </c>
      <c r="N14" s="22" t="n">
        <f aca="false">SUM(N11:N13)</f>
        <v>762052468.565202</v>
      </c>
      <c r="O14" s="22" t="n">
        <f aca="false">SUM(O11:O13)</f>
        <v>794284539.649316</v>
      </c>
      <c r="P14" s="22" t="n">
        <f aca="false">SUM(P11:P13)</f>
        <v>826179091.510243</v>
      </c>
    </row>
    <row r="16" customFormat="false" ht="14.25" hidden="false" customHeight="true" outlineLevel="0" collapsed="false">
      <c r="A16" s="10" t="s">
        <v>439</v>
      </c>
      <c r="B16" s="11"/>
      <c r="C16" s="11"/>
      <c r="D16" s="11"/>
      <c r="E16" s="11"/>
      <c r="F16" s="11"/>
      <c r="G16" s="11"/>
      <c r="H16" s="11"/>
      <c r="I16" s="11"/>
      <c r="J16" s="11"/>
      <c r="K16" s="11"/>
      <c r="L16" s="11"/>
      <c r="M16" s="11"/>
      <c r="N16" s="11"/>
      <c r="O16" s="11"/>
      <c r="P16" s="11"/>
    </row>
    <row r="17" customFormat="false" ht="14.25" hidden="false" customHeight="true" outlineLevel="0" collapsed="false">
      <c r="A17" s="5" t="s">
        <v>440</v>
      </c>
      <c r="E17" s="21" t="n">
        <f aca="false">EQ_TDOMA</f>
        <v>3992849583.3122</v>
      </c>
      <c r="F17" s="21" t="n">
        <f aca="false">EQ_TDOMA</f>
        <v>3992849583.3122</v>
      </c>
      <c r="G17" s="21" t="n">
        <f aca="false">EQ_TDOMA</f>
        <v>3992849583.3122</v>
      </c>
      <c r="H17" s="21" t="n">
        <f aca="false">EQ_TDOMA</f>
        <v>3992849583.3122</v>
      </c>
      <c r="I17" s="21" t="n">
        <f aca="false">EQ_TDOMA</f>
        <v>3992849583.3122</v>
      </c>
      <c r="J17" s="21" t="n">
        <f aca="false">EQ_TDOMA</f>
        <v>3992849583.3122</v>
      </c>
      <c r="K17" s="21" t="n">
        <f aca="false">EQ_TDOMA</f>
        <v>3992849583.3122</v>
      </c>
      <c r="L17" s="21" t="n">
        <f aca="false">EQ_TDOMA</f>
        <v>3992849583.3122</v>
      </c>
      <c r="M17" s="21" t="n">
        <f aca="false">EQ_TDOMA</f>
        <v>3992849583.3122</v>
      </c>
      <c r="N17" s="21" t="n">
        <f aca="false">EQ_TDOMA</f>
        <v>3992849583.3122</v>
      </c>
      <c r="O17" s="21" t="n">
        <f aca="false">EQ_TDOMA</f>
        <v>3992849583.3122</v>
      </c>
      <c r="P17" s="21" t="n">
        <f aca="false">EQ_TDOMA</f>
        <v>3992849583.3122</v>
      </c>
    </row>
    <row r="18" customFormat="false" ht="14.25" hidden="false" customHeight="true" outlineLevel="0" collapsed="false">
      <c r="A18" s="5" t="s">
        <v>441</v>
      </c>
      <c r="E18" s="21" t="n">
        <f aca="false">LAND_V+PL!E21*0.3+CashFlow!E15*0.3</f>
        <v>1662052033.28735</v>
      </c>
      <c r="F18" s="21" t="n">
        <f aca="false">E18+PL!F21*0.3+CashFlow!F15*0.3</f>
        <v>1718087309.20437</v>
      </c>
      <c r="G18" s="21" t="n">
        <f aca="false">F18+PL!G21*0.3+CashFlow!G15*0.3</f>
        <v>1817227110.97206</v>
      </c>
      <c r="H18" s="21" t="n">
        <f aca="false">G18+PL!H21*0.3+CashFlow!H15*0.3</f>
        <v>1958232626.53234</v>
      </c>
      <c r="I18" s="21" t="n">
        <f aca="false">H18+PL!I21*0.3+CashFlow!I15*0.3</f>
        <v>2151317685.76393</v>
      </c>
      <c r="J18" s="21" t="n">
        <f aca="false">I18+PL!J21*0.3+CashFlow!J15*0.3</f>
        <v>2398382733.84388</v>
      </c>
      <c r="K18" s="21" t="n">
        <f aca="false">J18+PL!K21*0.3+CashFlow!K15*0.3</f>
        <v>2713055008.04768</v>
      </c>
      <c r="L18" s="21" t="n">
        <f aca="false">K18+PL!L21*0.3+CashFlow!L15*0.3</f>
        <v>3114524961.61973</v>
      </c>
      <c r="M18" s="21" t="n">
        <f aca="false">L18+PL!M21*0.3+CashFlow!M15*0.3</f>
        <v>3621945863.89754</v>
      </c>
      <c r="N18" s="21" t="n">
        <f aca="false">M18+PL!N21*0.3+CashFlow!N15*0.3</f>
        <v>4261953833.33937</v>
      </c>
      <c r="O18" s="21" t="n">
        <f aca="false">N18+PL!O21*0.3+CashFlow!O15*0.3</f>
        <v>5067849727.88695</v>
      </c>
      <c r="P18" s="21" t="n">
        <f aca="false">O18+PL!P21*0.3+CashFlow!P15*0.3</f>
        <v>6081265495.68609</v>
      </c>
    </row>
    <row r="19" customFormat="false" ht="14.25" hidden="false" customHeight="true" outlineLevel="0" collapsed="false">
      <c r="A19" s="5" t="s">
        <v>442</v>
      </c>
      <c r="E19" s="21" t="n">
        <f aca="false">MIN(LEGAL_RESERVE_PCT*MAX(PL!E21*0.7,0),LEGAL_RESERVE_PCT*EQ_TDOMA)</f>
        <v>0</v>
      </c>
      <c r="F19" s="21" t="n">
        <f aca="false">E19+MIN(LEGAL_RESERVE_PCT*MAX(PL!F21*0.7,0),MAX(LEGAL_RESERVE_PCT*EQ_TDOMA-E19,0))</f>
        <v>0</v>
      </c>
      <c r="G19" s="21" t="n">
        <f aca="false">F19+MIN(LEGAL_RESERVE_PCT*MAX(PL!G21*0.7,0),MAX(LEGAL_RESERVE_PCT*EQ_TDOMA-F19,0))</f>
        <v>0</v>
      </c>
      <c r="H19" s="21" t="n">
        <f aca="false">G19+MIN(LEGAL_RESERVE_PCT*MAX(PL!H21*0.7,0),MAX(LEGAL_RESERVE_PCT*EQ_TDOMA-G19,0))</f>
        <v>0</v>
      </c>
      <c r="I19" s="21" t="n">
        <f aca="false">H19+MIN(LEGAL_RESERVE_PCT*MAX(PL!I21*0.7,0),MAX(LEGAL_RESERVE_PCT*EQ_TDOMA-H19,0))</f>
        <v>0</v>
      </c>
      <c r="J19" s="21" t="n">
        <f aca="false">I19+MIN(LEGAL_RESERVE_PCT*MAX(PL!J21*0.7,0),MAX(LEGAL_RESERVE_PCT*EQ_TDOMA-I19,0))</f>
        <v>0</v>
      </c>
      <c r="K19" s="21" t="n">
        <f aca="false">J19+MIN(LEGAL_RESERVE_PCT*MAX(PL!K21*0.7,0),MAX(LEGAL_RESERVE_PCT*EQ_TDOMA-J19,0))</f>
        <v>0</v>
      </c>
      <c r="L19" s="21" t="n">
        <f aca="false">K19+MIN(LEGAL_RESERVE_PCT*MAX(PL!L21*0.7,0),MAX(LEGAL_RESERVE_PCT*EQ_TDOMA-K19,0))</f>
        <v>0</v>
      </c>
      <c r="M19" s="21" t="n">
        <f aca="false">L19+MIN(LEGAL_RESERVE_PCT*MAX(PL!M21*0.7,0),MAX(LEGAL_RESERVE_PCT*EQ_TDOMA-L19,0))</f>
        <v>0</v>
      </c>
      <c r="N19" s="21" t="n">
        <f aca="false">M19+MIN(LEGAL_RESERVE_PCT*MAX(PL!N21*0.7,0),MAX(LEGAL_RESERVE_PCT*EQ_TDOMA-M19,0))</f>
        <v>0</v>
      </c>
      <c r="O19" s="21" t="n">
        <f aca="false">N19+MIN(LEGAL_RESERVE_PCT*MAX(PL!O21*0.7,0),MAX(LEGAL_RESERVE_PCT*EQ_TDOMA-N19,0))</f>
        <v>0</v>
      </c>
      <c r="P19" s="21" t="n">
        <f aca="false">O19+MIN(LEGAL_RESERVE_PCT*MAX(PL!P21*0.7,0),MAX(LEGAL_RESERVE_PCT*EQ_TDOMA-O19,0))</f>
        <v>0</v>
      </c>
    </row>
    <row r="20" customFormat="false" ht="14.25" hidden="false" customHeight="true" outlineLevel="0" collapsed="false">
      <c r="A20" s="5" t="s">
        <v>443</v>
      </c>
      <c r="E20" s="21" t="n">
        <f aca="false">-PREOPEN+PL!E21*0.7-E19+CashFlow!E15*0.7</f>
        <v>-91878588.9961838</v>
      </c>
      <c r="F20" s="21" t="n">
        <f aca="false">E20+PL!F21*0.7-(F19-E19)+CashFlow!F15*0.7</f>
        <v>38870388.1435307</v>
      </c>
      <c r="G20" s="21" t="n">
        <f aca="false">F20+PL!G21*0.7-(G19-F19)+CashFlow!G15*0.7</f>
        <v>270196592.268139</v>
      </c>
      <c r="H20" s="21" t="n">
        <f aca="false">G20+PL!H21*0.7-(H19-G19)+CashFlow!H15*0.7</f>
        <v>599209461.908792</v>
      </c>
      <c r="I20" s="21" t="n">
        <f aca="false">H20+PL!I21*0.7-(I19-H19)+CashFlow!I15*0.7</f>
        <v>1049741266.78251</v>
      </c>
      <c r="J20" s="21" t="n">
        <f aca="false">I20+PL!J21*0.7-(J19-I19)+CashFlow!J15*0.7</f>
        <v>1626226378.96905</v>
      </c>
      <c r="K20" s="21" t="n">
        <f aca="false">J20+PL!K21*0.7-(K19-J19)+CashFlow!K15*0.7</f>
        <v>2360461685.44458</v>
      </c>
      <c r="L20" s="21" t="n">
        <f aca="false">K20+PL!L21*0.7-(L19-K19)+CashFlow!L15*0.7</f>
        <v>3297224910.44603</v>
      </c>
      <c r="M20" s="21" t="n">
        <f aca="false">L20+PL!M21*0.7-(M19-L19)+CashFlow!M15*0.7</f>
        <v>4481207015.76091</v>
      </c>
      <c r="N20" s="21" t="n">
        <f aca="false">M20+PL!N21*0.7-(N19-M19)+CashFlow!N15*0.7</f>
        <v>5974558944.45853</v>
      </c>
      <c r="O20" s="21" t="n">
        <f aca="false">N20+PL!O21*0.7-(O19-N19)+CashFlow!O15*0.7</f>
        <v>7854982698.40289</v>
      </c>
      <c r="P20" s="21" t="n">
        <f aca="false">O20+PL!P21*0.7-(P19-O19)+CashFlow!P15*0.7</f>
        <v>10219619489.9342</v>
      </c>
    </row>
    <row r="21" customFormat="false" ht="14.25" hidden="false" customHeight="true" outlineLevel="0" collapsed="false">
      <c r="A21" s="4" t="s">
        <v>444</v>
      </c>
      <c r="E21" s="22" t="n">
        <f aca="false">SUM(E17:E20)</f>
        <v>5563023027.60337</v>
      </c>
      <c r="F21" s="22" t="n">
        <f aca="false">SUM(F17:F20)</f>
        <v>5749807280.6601</v>
      </c>
      <c r="G21" s="22" t="n">
        <f aca="false">SUM(G17:G20)</f>
        <v>6080273286.5524</v>
      </c>
      <c r="H21" s="22" t="n">
        <f aca="false">SUM(H17:H20)</f>
        <v>6550291671.75333</v>
      </c>
      <c r="I21" s="22" t="n">
        <f aca="false">SUM(I17:I20)</f>
        <v>7193908535.85864</v>
      </c>
      <c r="J21" s="22" t="n">
        <f aca="false">SUM(J17:J20)</f>
        <v>8017458696.12513</v>
      </c>
      <c r="K21" s="22" t="n">
        <f aca="false">SUM(K17:K20)</f>
        <v>9066366276.80446</v>
      </c>
      <c r="L21" s="22" t="n">
        <f aca="false">SUM(L17:L20)</f>
        <v>10404599455.378</v>
      </c>
      <c r="M21" s="22" t="n">
        <f aca="false">SUM(M17:M20)</f>
        <v>12096002462.9706</v>
      </c>
      <c r="N21" s="22" t="n">
        <f aca="false">SUM(N17:N20)</f>
        <v>14229362361.1101</v>
      </c>
      <c r="O21" s="22" t="n">
        <f aca="false">SUM(O17:O20)</f>
        <v>16915682009.602</v>
      </c>
      <c r="P21" s="22" t="n">
        <f aca="false">SUM(P17:P20)</f>
        <v>20293734568.9325</v>
      </c>
    </row>
    <row r="23" customFormat="false" ht="14.25" hidden="false" customHeight="true" outlineLevel="0" collapsed="false">
      <c r="A23" s="4" t="s">
        <v>445</v>
      </c>
      <c r="E23" s="28" t="n">
        <f aca="false">E14+E21</f>
        <v>7115631269.85815</v>
      </c>
      <c r="F23" s="28" t="n">
        <f aca="false">F14+F21</f>
        <v>7041857536.80954</v>
      </c>
      <c r="G23" s="28" t="n">
        <f aca="false">G14+G21</f>
        <v>7049744887.37921</v>
      </c>
      <c r="H23" s="28" t="n">
        <f aca="false">H14+H21</f>
        <v>7123765699.86692</v>
      </c>
      <c r="I23" s="28" t="n">
        <f aca="false">I14+I21</f>
        <v>7798218450.48852</v>
      </c>
      <c r="J23" s="28" t="n">
        <f aca="false">J14+J21</f>
        <v>8651316963.61352</v>
      </c>
      <c r="K23" s="28" t="n">
        <f aca="false">K14+K21</f>
        <v>9728742870.22511</v>
      </c>
      <c r="L23" s="28" t="n">
        <f aca="false">L14+L21</f>
        <v>11100816609.9307</v>
      </c>
      <c r="M23" s="28" t="n">
        <f aca="false">M14+M21</f>
        <v>12825400961.4227</v>
      </c>
      <c r="N23" s="28" t="n">
        <f aca="false">N14+N21</f>
        <v>14991414829.6753</v>
      </c>
      <c r="O23" s="28" t="n">
        <f aca="false">O14+O21</f>
        <v>17709966549.2514</v>
      </c>
      <c r="P23" s="28" t="n">
        <f aca="false">P14+P21</f>
        <v>21119913660.4428</v>
      </c>
    </row>
    <row r="25" customFormat="false" ht="14.25" hidden="false" customHeight="true" outlineLevel="0" collapsed="false">
      <c r="A25" s="4" t="s">
        <v>446</v>
      </c>
      <c r="E25" s="28" t="n">
        <f aca="false">E8-E23</f>
        <v>0</v>
      </c>
      <c r="F25" s="28" t="n">
        <f aca="false">F8-F23</f>
        <v>0</v>
      </c>
      <c r="G25" s="28" t="n">
        <f aca="false">G8-G23</f>
        <v>0</v>
      </c>
      <c r="H25" s="28" t="n">
        <f aca="false">H8-H23</f>
        <v>0</v>
      </c>
      <c r="I25" s="28" t="n">
        <f aca="false">I8-I23</f>
        <v>0</v>
      </c>
      <c r="J25" s="28" t="n">
        <f aca="false">J8-J23</f>
        <v>0</v>
      </c>
      <c r="K25" s="28" t="n">
        <f aca="false">K8-K23</f>
        <v>0</v>
      </c>
      <c r="L25" s="28" t="n">
        <f aca="false">L8-L23</f>
        <v>0</v>
      </c>
      <c r="M25" s="28" t="n">
        <f aca="false">M8-M23</f>
        <v>0</v>
      </c>
      <c r="N25" s="28" t="n">
        <f aca="false">N8-N23</f>
        <v>0</v>
      </c>
      <c r="O25" s="28" t="n">
        <f aca="false">O8-O23</f>
        <v>0</v>
      </c>
      <c r="P25" s="28" t="n">
        <f aca="false">P8-P23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6" activeCellId="0" sqref="B16"/>
    </sheetView>
  </sheetViews>
  <sheetFormatPr defaultColWidth="8.6796875" defaultRowHeight="14.25" zeroHeight="false" outlineLevelRow="0" outlineLevelCol="0"/>
  <cols>
    <col collapsed="false" customWidth="true" hidden="false" outlineLevel="0" max="1" min="1" style="1" width="46"/>
    <col collapsed="false" customWidth="true" hidden="false" outlineLevel="0" max="5" min="5" style="1" width="11"/>
    <col collapsed="false" customWidth="true" hidden="false" outlineLevel="0" max="13" min="6" style="1" width="9.91"/>
    <col collapsed="false" customWidth="true" hidden="false" outlineLevel="0" max="16" min="14" style="1" width="11.27"/>
  </cols>
  <sheetData>
    <row r="1" customFormat="false" ht="18" hidden="false" customHeight="true" outlineLevel="0" collapsed="false">
      <c r="A1" s="8" t="s">
        <v>447</v>
      </c>
    </row>
    <row r="3" customFormat="false" ht="14.25" hidden="false" customHeight="true" outlineLevel="0" collapsed="false">
      <c r="A3" s="4" t="s">
        <v>253</v>
      </c>
      <c r="E3" s="31" t="s">
        <v>257</v>
      </c>
      <c r="F3" s="31" t="s">
        <v>258</v>
      </c>
      <c r="G3" s="31" t="s">
        <v>259</v>
      </c>
      <c r="H3" s="31" t="s">
        <v>260</v>
      </c>
      <c r="I3" s="31" t="s">
        <v>261</v>
      </c>
      <c r="J3" s="31" t="s">
        <v>262</v>
      </c>
      <c r="K3" s="31" t="s">
        <v>263</v>
      </c>
      <c r="L3" s="31" t="s">
        <v>264</v>
      </c>
      <c r="M3" s="31" t="s">
        <v>265</v>
      </c>
      <c r="N3" s="31" t="s">
        <v>266</v>
      </c>
      <c r="O3" s="31" t="s">
        <v>267</v>
      </c>
      <c r="P3" s="31" t="s">
        <v>268</v>
      </c>
    </row>
    <row r="5" customFormat="false" ht="14.25" hidden="false" customHeight="true" outlineLevel="0" collapsed="false">
      <c r="A5" s="10" t="s">
        <v>448</v>
      </c>
      <c r="B5" s="11"/>
      <c r="C5" s="11"/>
      <c r="D5" s="11"/>
      <c r="E5" s="11"/>
      <c r="F5" s="11"/>
      <c r="G5" s="11"/>
      <c r="H5" s="11"/>
      <c r="I5" s="11"/>
      <c r="J5" s="11"/>
      <c r="K5" s="11"/>
      <c r="L5" s="11"/>
      <c r="M5" s="11"/>
      <c r="N5" s="11"/>
      <c r="O5" s="11"/>
      <c r="P5" s="11"/>
    </row>
    <row r="6" customFormat="false" ht="14.25" hidden="false" customHeight="true" outlineLevel="0" collapsed="false">
      <c r="A6" s="4" t="s">
        <v>449</v>
      </c>
      <c r="E6" s="28" t="n">
        <f aca="false">Revenue!E25</f>
        <v>350575121.73913</v>
      </c>
      <c r="F6" s="28" t="n">
        <f aca="false">Revenue!F25</f>
        <v>178449283.565217</v>
      </c>
      <c r="G6" s="28" t="n">
        <f aca="false">Revenue!G25</f>
        <v>241553459.011304</v>
      </c>
      <c r="H6" s="28" t="n">
        <f aca="false">Revenue!H25</f>
        <v>300510159.566009</v>
      </c>
      <c r="I6" s="28" t="n">
        <f aca="false">Revenue!I25</f>
        <v>374105818.765521</v>
      </c>
      <c r="J6" s="28" t="n">
        <f aca="false">Revenue!J25</f>
        <v>465993161.116471</v>
      </c>
      <c r="K6" s="28" t="n">
        <f aca="false">Revenue!K25</f>
        <v>580737601.191329</v>
      </c>
      <c r="L6" s="28" t="n">
        <f aca="false">Revenue!L25</f>
        <v>724045381.770604</v>
      </c>
      <c r="M6" s="28" t="n">
        <f aca="false">Revenue!M25</f>
        <v>903048744.114398</v>
      </c>
      <c r="N6" s="28" t="n">
        <f aca="false">Revenue!N25</f>
        <v>1126662388.22722</v>
      </c>
      <c r="O6" s="28" t="n">
        <f aca="false">Revenue!O25</f>
        <v>1406029045.43414</v>
      </c>
      <c r="P6" s="28" t="n">
        <f aca="false">Revenue!P25</f>
        <v>1755076441.15331</v>
      </c>
    </row>
    <row r="7" customFormat="false" ht="14.25" hidden="false" customHeight="true" outlineLevel="0" collapsed="false">
      <c r="A7" s="10" t="s">
        <v>450</v>
      </c>
      <c r="B7" s="11"/>
      <c r="C7" s="11"/>
      <c r="D7" s="11"/>
      <c r="E7" s="11"/>
      <c r="F7" s="11"/>
      <c r="G7" s="11"/>
      <c r="H7" s="11"/>
      <c r="I7" s="11"/>
      <c r="J7" s="11"/>
      <c r="K7" s="11"/>
      <c r="L7" s="11"/>
      <c r="M7" s="11"/>
      <c r="N7" s="11"/>
      <c r="O7" s="11"/>
      <c r="P7" s="11"/>
    </row>
    <row r="8" customFormat="false" ht="14.25" hidden="false" customHeight="true" outlineLevel="0" collapsed="false">
      <c r="A8" s="5" t="s">
        <v>451</v>
      </c>
      <c r="E8" s="21" t="n">
        <f aca="false">Opex!E13</f>
        <v>26239967.8638941</v>
      </c>
      <c r="F8" s="21" t="n">
        <f aca="false">Opex!F13</f>
        <v>27551966.2570889</v>
      </c>
      <c r="G8" s="21" t="n">
        <f aca="false">Opex!G13</f>
        <v>28929564.5699433</v>
      </c>
      <c r="H8" s="21" t="n">
        <f aca="false">Opex!H13</f>
        <v>30376042.7984405</v>
      </c>
      <c r="I8" s="21" t="n">
        <f aca="false">Opex!I13</f>
        <v>31894844.9383625</v>
      </c>
      <c r="J8" s="21" t="n">
        <f aca="false">Opex!J13</f>
        <v>33489587.1852806</v>
      </c>
      <c r="K8" s="21" t="n">
        <f aca="false">Opex!K13</f>
        <v>35164066.5445446</v>
      </c>
      <c r="L8" s="21" t="n">
        <f aca="false">Opex!L13</f>
        <v>36922269.8717719</v>
      </c>
      <c r="M8" s="21" t="n">
        <f aca="false">Opex!M13</f>
        <v>38768383.3653605</v>
      </c>
      <c r="N8" s="21" t="n">
        <f aca="false">Opex!N13</f>
        <v>40706802.5336285</v>
      </c>
      <c r="O8" s="21" t="n">
        <f aca="false">Opex!O13</f>
        <v>42742142.6603099</v>
      </c>
      <c r="P8" s="21" t="n">
        <f aca="false">Opex!P13</f>
        <v>44879249.7933254</v>
      </c>
    </row>
    <row r="9" customFormat="false" ht="14.25" hidden="false" customHeight="true" outlineLevel="0" collapsed="false">
      <c r="A9" s="5" t="s">
        <v>452</v>
      </c>
      <c r="E9" s="21" t="n">
        <f aca="false">CashFlow!E10</f>
        <v>629311210.434783</v>
      </c>
      <c r="F9" s="21" t="n">
        <f aca="false">CashFlow!F10</f>
        <v>0</v>
      </c>
      <c r="G9" s="21" t="n">
        <f aca="false">CashFlow!G10</f>
        <v>0</v>
      </c>
      <c r="H9" s="21" t="n">
        <f aca="false">CashFlow!H10</f>
        <v>0</v>
      </c>
      <c r="I9" s="21" t="n">
        <f aca="false">CashFlow!I10</f>
        <v>0</v>
      </c>
      <c r="J9" s="21" t="n">
        <f aca="false">CashFlow!J10</f>
        <v>0</v>
      </c>
      <c r="K9" s="21" t="n">
        <f aca="false">CashFlow!K10</f>
        <v>0</v>
      </c>
      <c r="L9" s="21" t="n">
        <f aca="false">CashFlow!L10</f>
        <v>0</v>
      </c>
      <c r="M9" s="21" t="n">
        <f aca="false">CashFlow!M10</f>
        <v>0</v>
      </c>
      <c r="N9" s="21" t="n">
        <f aca="false">CashFlow!N10</f>
        <v>0</v>
      </c>
      <c r="O9" s="21" t="n">
        <f aca="false">CashFlow!O10</f>
        <v>0</v>
      </c>
      <c r="P9" s="21" t="n">
        <f aca="false">CashFlow!P10</f>
        <v>0</v>
      </c>
    </row>
    <row r="10" customFormat="false" ht="14.25" hidden="false" customHeight="true" outlineLevel="0" collapsed="false">
      <c r="A10" s="4" t="s">
        <v>453</v>
      </c>
      <c r="E10" s="28" t="n">
        <f aca="false">E8</f>
        <v>26239967.8638941</v>
      </c>
      <c r="F10" s="28" t="n">
        <f aca="false">F8</f>
        <v>27551966.2570889</v>
      </c>
      <c r="G10" s="28" t="n">
        <f aca="false">G8</f>
        <v>28929564.5699433</v>
      </c>
      <c r="H10" s="28" t="n">
        <f aca="false">H8</f>
        <v>30376042.7984405</v>
      </c>
      <c r="I10" s="28" t="n">
        <f aca="false">I8</f>
        <v>31894844.9383625</v>
      </c>
      <c r="J10" s="28" t="n">
        <f aca="false">J8</f>
        <v>33489587.1852806</v>
      </c>
      <c r="K10" s="28" t="n">
        <f aca="false">K8</f>
        <v>35164066.5445446</v>
      </c>
      <c r="L10" s="28" t="n">
        <f aca="false">L8</f>
        <v>36922269.8717719</v>
      </c>
      <c r="M10" s="28" t="n">
        <f aca="false">M8</f>
        <v>38768383.3653605</v>
      </c>
      <c r="N10" s="28" t="n">
        <f aca="false">N8</f>
        <v>40706802.5336285</v>
      </c>
      <c r="O10" s="28" t="n">
        <f aca="false">O8</f>
        <v>42742142.6603099</v>
      </c>
      <c r="P10" s="28" t="n">
        <f aca="false">P8</f>
        <v>44879249.7933254</v>
      </c>
    </row>
    <row r="11" customFormat="false" ht="14.25" hidden="false" customHeight="true" outlineLevel="0" collapsed="false">
      <c r="A11" s="10" t="s">
        <v>454</v>
      </c>
      <c r="B11" s="11"/>
      <c r="C11" s="11"/>
      <c r="D11" s="11"/>
      <c r="E11" s="11"/>
      <c r="F11" s="11"/>
      <c r="G11" s="11"/>
      <c r="H11" s="11"/>
      <c r="I11" s="11"/>
      <c r="J11" s="11"/>
      <c r="K11" s="11"/>
      <c r="L11" s="11"/>
      <c r="M11" s="11"/>
      <c r="N11" s="11"/>
      <c r="O11" s="11"/>
      <c r="P11" s="11"/>
    </row>
    <row r="12" customFormat="false" ht="14.25" hidden="false" customHeight="true" outlineLevel="0" collapsed="false">
      <c r="A12" s="4" t="s">
        <v>455</v>
      </c>
      <c r="E12" s="28" t="n">
        <f aca="false">E6-E10</f>
        <v>324335153.875236</v>
      </c>
      <c r="F12" s="28" t="n">
        <f aca="false">F6-F10</f>
        <v>150897317.308129</v>
      </c>
      <c r="G12" s="28" t="n">
        <f aca="false">G6-G10</f>
        <v>212623894.441361</v>
      </c>
      <c r="H12" s="28" t="n">
        <f aca="false">H6-H10</f>
        <v>270134116.767568</v>
      </c>
      <c r="I12" s="28" t="n">
        <f aca="false">I6-I10</f>
        <v>342210973.827158</v>
      </c>
      <c r="J12" s="28" t="n">
        <f aca="false">J6-J10</f>
        <v>432503573.931191</v>
      </c>
      <c r="K12" s="28" t="n">
        <f aca="false">K6-K10</f>
        <v>545573534.646785</v>
      </c>
      <c r="L12" s="28" t="n">
        <f aca="false">L6-L10</f>
        <v>687123111.898832</v>
      </c>
      <c r="M12" s="28" t="n">
        <f aca="false">M6-M10</f>
        <v>864280360.749038</v>
      </c>
      <c r="N12" s="28" t="n">
        <f aca="false">N6-N10</f>
        <v>1085955585.69359</v>
      </c>
      <c r="O12" s="28" t="n">
        <f aca="false">O6-O10</f>
        <v>1363286902.77383</v>
      </c>
      <c r="P12" s="28" t="n">
        <f aca="false">P6-P10</f>
        <v>1710197191.35998</v>
      </c>
    </row>
    <row r="13" customFormat="false" ht="14.25" hidden="false" customHeight="true" outlineLevel="0" collapsed="false">
      <c r="A13" s="1" t="s">
        <v>456</v>
      </c>
    </row>
    <row r="14" customFormat="false" ht="14.25" hidden="false" customHeight="true" outlineLevel="0" collapsed="false">
      <c r="A14" s="1" t="s">
        <v>457</v>
      </c>
      <c r="E14" s="1" t="n">
        <f aca="false">E6-E8-E9</f>
        <v>-304976056.559546</v>
      </c>
      <c r="F14" s="1" t="n">
        <f aca="false">F6-F8-F9</f>
        <v>150897317.308129</v>
      </c>
      <c r="G14" s="1" t="n">
        <f aca="false">G6-G8-G9</f>
        <v>212623894.441361</v>
      </c>
      <c r="H14" s="1" t="n">
        <f aca="false">H6-H8-H9</f>
        <v>270134116.767568</v>
      </c>
      <c r="I14" s="1" t="n">
        <f aca="false">I6-I8-I9</f>
        <v>342210973.827158</v>
      </c>
      <c r="J14" s="1" t="n">
        <f aca="false">J6-J8-J9</f>
        <v>432503573.931191</v>
      </c>
      <c r="K14" s="1" t="n">
        <f aca="false">K6-K8-K9</f>
        <v>545573534.646785</v>
      </c>
      <c r="L14" s="1" t="n">
        <f aca="false">L6-L8-L9</f>
        <v>687123111.898832</v>
      </c>
      <c r="M14" s="1" t="n">
        <f aca="false">M6-M8-M9</f>
        <v>864280360.749038</v>
      </c>
      <c r="N14" s="1" t="n">
        <f aca="false">N6-N8-N9</f>
        <v>1085955585.69359</v>
      </c>
      <c r="O14" s="1" t="n">
        <f aca="false">O6-O8-O9</f>
        <v>1363286902.77383</v>
      </c>
      <c r="P14" s="1" t="n">
        <f aca="false">P6-P8-P9</f>
        <v>1710197191.35998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1" activeCellId="0" sqref="C21"/>
    </sheetView>
  </sheetViews>
  <sheetFormatPr defaultColWidth="8.6796875" defaultRowHeight="14.25" zeroHeight="false" outlineLevelRow="0" outlineLevelCol="0"/>
  <cols>
    <col collapsed="false" customWidth="true" hidden="false" outlineLevel="0" max="1" min="1" style="1" width="56"/>
    <col collapsed="false" customWidth="true" hidden="false" outlineLevel="0" max="2" min="2" style="1" width="20"/>
    <col collapsed="false" customWidth="true" hidden="false" outlineLevel="0" max="3" min="3" style="1" width="12"/>
    <col collapsed="false" customWidth="true" hidden="false" outlineLevel="0" max="4" min="4" style="1" width="60"/>
    <col collapsed="false" customWidth="true" hidden="false" outlineLevel="0" max="5" min="5" style="1" width="14"/>
  </cols>
  <sheetData>
    <row r="1" customFormat="false" ht="18" hidden="false" customHeight="true" outlineLevel="0" collapsed="false">
      <c r="A1" s="8" t="s">
        <v>458</v>
      </c>
    </row>
    <row r="2" customFormat="false" ht="14.25" hidden="false" customHeight="true" outlineLevel="0" collapsed="false">
      <c r="A2" s="9" t="s">
        <v>459</v>
      </c>
      <c r="B2" s="9" t="s">
        <v>113</v>
      </c>
      <c r="C2" s="9" t="s">
        <v>460</v>
      </c>
      <c r="D2" s="9" t="s">
        <v>223</v>
      </c>
      <c r="E2" s="9" t="s">
        <v>461</v>
      </c>
    </row>
    <row r="3" customFormat="false" ht="14.25" hidden="false" customHeight="true" outlineLevel="0" collapsed="false">
      <c r="A3" s="5" t="s">
        <v>462</v>
      </c>
      <c r="B3" s="41" t="n">
        <f aca="false">SUMPRODUCT(ABS(Balancesheet!E25:P25))</f>
        <v>0</v>
      </c>
      <c r="C3" s="4" t="str">
        <f aca="false">IF(B3&lt;=1,"PASS","FAIL")</f>
        <v>PASS</v>
      </c>
      <c r="D3" s="26" t="s">
        <v>463</v>
      </c>
      <c r="E3" s="42" t="s">
        <v>464</v>
      </c>
    </row>
    <row r="4" customFormat="false" ht="14.25" hidden="false" customHeight="true" outlineLevel="0" collapsed="false">
      <c r="A4" s="5" t="s">
        <v>465</v>
      </c>
      <c r="B4" s="41" t="n">
        <f aca="false">SUMPRODUCT(ABS(CashFlow!E21:P21-Balancesheet!E7:P7))</f>
        <v>0</v>
      </c>
      <c r="C4" s="4" t="str">
        <f aca="false">IF(B4&lt;=1,"PASS","FAIL")</f>
        <v>PASS</v>
      </c>
      <c r="D4" s="26" t="s">
        <v>466</v>
      </c>
      <c r="E4" s="42" t="s">
        <v>464</v>
      </c>
    </row>
    <row r="5" customFormat="false" ht="14.25" hidden="false" customHeight="true" outlineLevel="0" collapsed="false">
      <c r="A5" s="5" t="s">
        <v>467</v>
      </c>
      <c r="B5" s="41" t="n">
        <f aca="false">ABS(Capex!$B$29)</f>
        <v>0</v>
      </c>
      <c r="C5" s="4" t="str">
        <f aca="false">IF(B5&lt;=1,"PASS","FAIL")</f>
        <v>PASS</v>
      </c>
      <c r="D5" s="26" t="s">
        <v>468</v>
      </c>
      <c r="E5" s="42" t="s">
        <v>464</v>
      </c>
    </row>
    <row r="6" customFormat="false" ht="14.25" hidden="false" customHeight="true" outlineLevel="0" collapsed="false">
      <c r="A6" s="5" t="s">
        <v>469</v>
      </c>
      <c r="B6" s="41" t="n">
        <f aca="false">ABS(AssetSplit!$B$22)</f>
        <v>0</v>
      </c>
      <c r="C6" s="4" t="str">
        <f aca="false">IF(B6&lt;=1,"PASS","FAIL")</f>
        <v>PASS</v>
      </c>
      <c r="D6" s="26" t="s">
        <v>470</v>
      </c>
      <c r="E6" s="26" t="s">
        <v>471</v>
      </c>
    </row>
    <row r="7" customFormat="false" ht="14.25" hidden="false" customHeight="true" outlineLevel="0" collapsed="false">
      <c r="A7" s="5" t="s">
        <v>472</v>
      </c>
      <c r="B7" s="41" t="n">
        <f aca="false">ABS(Financing!K11)</f>
        <v>0</v>
      </c>
      <c r="C7" s="4" t="str">
        <f aca="false">IF(B7&lt;=1,"PASS","FAIL")</f>
        <v>PASS</v>
      </c>
      <c r="D7" s="26" t="s">
        <v>473</v>
      </c>
      <c r="E7" s="42" t="s">
        <v>464</v>
      </c>
    </row>
    <row r="8" customFormat="false" ht="14.25" hidden="false" customHeight="true" outlineLevel="0" collapsed="false">
      <c r="A8" s="5" t="s">
        <v>474</v>
      </c>
      <c r="B8" s="41" t="n">
        <f aca="false">ABS(SUM(Financing!E10:P10)-Financing!$B$3)</f>
        <v>0</v>
      </c>
      <c r="C8" s="4" t="str">
        <f aca="false">IF(B8&lt;=1,"PASS","FAIL")</f>
        <v>PASS</v>
      </c>
      <c r="D8" s="26" t="s">
        <v>475</v>
      </c>
      <c r="E8" s="26" t="s">
        <v>476</v>
      </c>
    </row>
    <row r="9" customFormat="false" ht="14.25" hidden="false" customHeight="true" outlineLevel="0" collapsed="false">
      <c r="A9" s="5" t="s">
        <v>477</v>
      </c>
      <c r="B9" s="41" t="n">
        <f aca="false">ABS(SUM(PL!E10:P10)+INVENTORY_V)</f>
        <v>0</v>
      </c>
      <c r="C9" s="4" t="str">
        <f aca="false">IF(B9&lt;=1,"PASS","FAIL")</f>
        <v>PASS</v>
      </c>
      <c r="D9" s="26" t="s">
        <v>478</v>
      </c>
      <c r="E9" s="26" t="s">
        <v>479</v>
      </c>
    </row>
    <row r="10" customFormat="false" ht="14.25" hidden="false" customHeight="true" outlineLevel="0" collapsed="false">
      <c r="A10" s="5" t="s">
        <v>480</v>
      </c>
      <c r="B10" s="41" t="n">
        <f aca="false">ABS(Balancesheet!N12)</f>
        <v>0</v>
      </c>
      <c r="C10" s="4" t="str">
        <f aca="false">IF(B10&lt;=1,"PASS","FAIL")</f>
        <v>PASS</v>
      </c>
      <c r="D10" s="26" t="s">
        <v>481</v>
      </c>
      <c r="E10" s="26" t="s">
        <v>482</v>
      </c>
    </row>
    <row r="11" customFormat="false" ht="14.25" hidden="false" customHeight="true" outlineLevel="0" collapsed="false">
      <c r="A11" s="5" t="s">
        <v>483</v>
      </c>
      <c r="B11" s="41" t="n">
        <f aca="false">ABS(AssetSplit!$B$37-(AssetSplit!$B$35/LIFE_B+AssetSplit!$B$33/LIFE_S+AssetSplit!$B$34/LIFE_F))</f>
        <v>0</v>
      </c>
      <c r="C11" s="4" t="str">
        <f aca="false">IF(B11&lt;=1,"PASS","FAIL")</f>
        <v>PASS</v>
      </c>
      <c r="D11" s="26" t="s">
        <v>484</v>
      </c>
      <c r="E11" s="42" t="s">
        <v>464</v>
      </c>
    </row>
    <row r="12" customFormat="false" ht="14.25" hidden="false" customHeight="true" outlineLevel="0" collapsed="false">
      <c r="A12" s="5" t="s">
        <v>485</v>
      </c>
      <c r="B12" s="41" t="n">
        <f aca="false">ABS(Revenue!$B$14+RETAIL_TOT*SOLD_PCT+ONE_STOP+HQ_A+CIRCULATION_A+HOTEL_GLA_A+EVENTS_GLA_A-NET_GLA-WAREHOUSE_M2)</f>
        <v>0</v>
      </c>
      <c r="C12" s="4" t="str">
        <f aca="false">IF(B12&lt;=1,"PASS","FAIL")</f>
        <v>PASS</v>
      </c>
      <c r="D12" s="26" t="s">
        <v>486</v>
      </c>
      <c r="E12" s="42" t="s">
        <v>464</v>
      </c>
    </row>
    <row r="13" customFormat="false" ht="14.25" hidden="false" customHeight="true" outlineLevel="0" collapsed="false">
      <c r="A13" s="5" t="s">
        <v>487</v>
      </c>
      <c r="B13" s="43" t="n">
        <f aca="false">MIN(Financing!E16:K16)</f>
        <v>1.41729678530381</v>
      </c>
      <c r="C13" s="4" t="str">
        <f aca="false">IF(B13&gt;=DSCR_COV,"PASS","FAIL")</f>
        <v>PASS</v>
      </c>
      <c r="D13" s="44" t="s">
        <v>488</v>
      </c>
      <c r="E13" s="42" t="s">
        <v>464</v>
      </c>
    </row>
    <row r="14" customFormat="false" ht="14.25" hidden="false" customHeight="true" outlineLevel="0" collapsed="false">
      <c r="A14" s="5" t="s">
        <v>489</v>
      </c>
      <c r="B14" s="45" t="n">
        <f aca="false">MIN(CashFlow!E21:P21)</f>
        <v>1866355642.11196</v>
      </c>
      <c r="C14" s="4" t="str">
        <f aca="false">IF(B14&gt;=0,"PASS","FAIL")</f>
        <v>PASS</v>
      </c>
      <c r="E14" s="42" t="s">
        <v>464</v>
      </c>
    </row>
    <row r="15" customFormat="false" ht="14.25" hidden="false" customHeight="true" outlineLevel="0" collapsed="false">
      <c r="A15" s="5" t="s">
        <v>490</v>
      </c>
      <c r="B15" s="45" t="n">
        <f aca="false">MIN(Returns!E36:P36)</f>
        <v>5015893442.53972</v>
      </c>
      <c r="C15" s="4" t="str">
        <f aca="false">IF(B15&gt;=0,"PASS","FAIL")</f>
        <v>PASS</v>
      </c>
      <c r="D15" s="26" t="s">
        <v>491</v>
      </c>
      <c r="E15" s="42" t="s">
        <v>464</v>
      </c>
    </row>
    <row r="17" customFormat="false" ht="14.25" hidden="false" customHeight="true" outlineLevel="0" collapsed="false">
      <c r="A17" s="4" t="s">
        <v>492</v>
      </c>
      <c r="B17" s="46" t="str">
        <f aca="false">COUNTIF(C3:C15,"PASS")&amp;" / "&amp;COUNTA(C3:C15)</f>
        <v>13 / 13</v>
      </c>
      <c r="D17" s="26" t="str">
        <f aca="false">"  of which "&amp;COUNTIF(E3:E15,"Independent")&amp;" independent, "&amp;(COUNTA(E3:E15)-COUNTIF(E3:E15,"Independent"))&amp;" structural (see Type column)"</f>
        <v>  of which 9 independent, 4 structural (see Type column)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8.6796875" defaultRowHeight="14.2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44"/>
    <col collapsed="false" customWidth="true" hidden="false" outlineLevel="0" max="6" min="4" style="1" width="26"/>
  </cols>
  <sheetData>
    <row r="1" customFormat="false" ht="18" hidden="false" customHeight="true" outlineLevel="0" collapsed="false">
      <c r="A1" s="8" t="s">
        <v>493</v>
      </c>
    </row>
    <row r="2" customFormat="false" ht="14.25" hidden="false" customHeight="true" outlineLevel="0" collapsed="false">
      <c r="A2" s="9" t="s">
        <v>112</v>
      </c>
      <c r="B2" s="9" t="s">
        <v>113</v>
      </c>
      <c r="C2" s="9" t="s">
        <v>494</v>
      </c>
      <c r="D2" s="9" t="s">
        <v>495</v>
      </c>
      <c r="E2" s="9" t="s">
        <v>496</v>
      </c>
      <c r="F2" s="9" t="s">
        <v>223</v>
      </c>
    </row>
    <row r="3" customFormat="false" ht="14.25" hidden="false" customHeight="true" outlineLevel="0" collapsed="false">
      <c r="A3" s="5" t="s">
        <v>187</v>
      </c>
      <c r="B3" s="38" t="n">
        <f aca="false">CIT</f>
        <v>0.3</v>
      </c>
      <c r="C3" s="26" t="s">
        <v>497</v>
      </c>
      <c r="D3" s="26" t="s">
        <v>498</v>
      </c>
      <c r="E3" s="26" t="s">
        <v>499</v>
      </c>
      <c r="F3" s="26" t="s">
        <v>500</v>
      </c>
    </row>
    <row r="4" customFormat="false" ht="14.25" hidden="false" customHeight="true" outlineLevel="0" collapsed="false">
      <c r="A4" s="5" t="s">
        <v>188</v>
      </c>
      <c r="B4" s="38" t="n">
        <f aca="false">VAT_R</f>
        <v>0.15</v>
      </c>
      <c r="C4" s="26" t="s">
        <v>501</v>
      </c>
      <c r="D4" s="26" t="s">
        <v>502</v>
      </c>
      <c r="E4" s="26" t="s">
        <v>499</v>
      </c>
      <c r="F4" s="26" t="s">
        <v>503</v>
      </c>
    </row>
    <row r="5" customFormat="false" ht="14.25" hidden="false" customHeight="true" outlineLevel="0" collapsed="false">
      <c r="A5" s="5" t="s">
        <v>189</v>
      </c>
      <c r="B5" s="38" t="n">
        <f aca="false">TAX_DEP</f>
        <v>0.05</v>
      </c>
      <c r="C5" s="26" t="s">
        <v>497</v>
      </c>
      <c r="D5" s="26" t="s">
        <v>498</v>
      </c>
      <c r="E5" s="26" t="s">
        <v>499</v>
      </c>
      <c r="F5" s="26" t="s">
        <v>504</v>
      </c>
    </row>
    <row r="6" customFormat="false" ht="14.25" hidden="false" customHeight="true" outlineLevel="0" collapsed="false">
      <c r="A6" s="5" t="s">
        <v>190</v>
      </c>
      <c r="B6" s="38" t="n">
        <f aca="false">TAX_DEP_PLANT</f>
        <v>0.2</v>
      </c>
      <c r="C6" s="26" t="s">
        <v>505</v>
      </c>
      <c r="D6" s="26" t="s">
        <v>506</v>
      </c>
      <c r="E6" s="44" t="s">
        <v>507</v>
      </c>
      <c r="F6" s="26" t="s">
        <v>508</v>
      </c>
    </row>
    <row r="7" customFormat="false" ht="14.25" hidden="false" customHeight="true" outlineLevel="0" collapsed="false">
      <c r="A7" s="5" t="s">
        <v>191</v>
      </c>
      <c r="B7" s="38" t="n">
        <f aca="false">DIV_WHT</f>
        <v>0.15</v>
      </c>
      <c r="C7" s="26" t="s">
        <v>497</v>
      </c>
      <c r="D7" s="26" t="s">
        <v>498</v>
      </c>
      <c r="E7" s="26" t="s">
        <v>509</v>
      </c>
      <c r="F7" s="26" t="s">
        <v>510</v>
      </c>
    </row>
    <row r="8" customFormat="false" ht="14.25" hidden="false" customHeight="true" outlineLevel="0" collapsed="false">
      <c r="A8" s="5" t="s">
        <v>192</v>
      </c>
      <c r="B8" s="38" t="n">
        <f aca="false">UNDIST_TAX_RATE</f>
        <v>0</v>
      </c>
      <c r="C8" s="26" t="s">
        <v>511</v>
      </c>
      <c r="D8" s="26" t="s">
        <v>506</v>
      </c>
      <c r="E8" s="26" t="s">
        <v>509</v>
      </c>
      <c r="F8" s="26" t="s">
        <v>512</v>
      </c>
    </row>
    <row r="9" customFormat="false" ht="14.25" hidden="false" customHeight="true" outlineLevel="0" collapsed="false">
      <c r="A9" s="5" t="s">
        <v>303</v>
      </c>
      <c r="B9" s="38" t="n">
        <f aca="false">PROP_TAX</f>
        <v>0.01</v>
      </c>
      <c r="C9" s="26" t="s">
        <v>513</v>
      </c>
      <c r="D9" s="26" t="s">
        <v>514</v>
      </c>
      <c r="E9" s="44" t="s">
        <v>507</v>
      </c>
      <c r="F9" s="26" t="s">
        <v>515</v>
      </c>
    </row>
    <row r="10" customFormat="false" ht="14.25" hidden="false" customHeight="true" outlineLevel="0" collapsed="false">
      <c r="A10" s="5" t="s">
        <v>516</v>
      </c>
      <c r="B10" s="25" t="s">
        <v>517</v>
      </c>
      <c r="C10" s="26" t="s">
        <v>518</v>
      </c>
      <c r="D10" s="26" t="s">
        <v>498</v>
      </c>
      <c r="E10" s="26" t="s">
        <v>509</v>
      </c>
      <c r="F10" s="26" t="s">
        <v>519</v>
      </c>
    </row>
    <row r="11" customFormat="false" ht="14.25" hidden="false" customHeight="true" outlineLevel="0" collapsed="false">
      <c r="A11" s="5" t="s">
        <v>520</v>
      </c>
      <c r="B11" s="25" t="s">
        <v>521</v>
      </c>
      <c r="C11" s="26" t="s">
        <v>522</v>
      </c>
      <c r="D11" s="26" t="s">
        <v>523</v>
      </c>
      <c r="E11" s="26" t="s">
        <v>499</v>
      </c>
      <c r="F11" s="26" t="s">
        <v>524</v>
      </c>
    </row>
    <row r="12" customFormat="false" ht="14.25" hidden="false" customHeight="true" outlineLevel="0" collapsed="false">
      <c r="A12" s="5" t="s">
        <v>525</v>
      </c>
      <c r="B12" s="25" t="s">
        <v>521</v>
      </c>
      <c r="C12" s="26" t="s">
        <v>526</v>
      </c>
      <c r="D12" s="26" t="s">
        <v>527</v>
      </c>
      <c r="E12" s="26" t="s">
        <v>499</v>
      </c>
      <c r="F12" s="26" t="s">
        <v>528</v>
      </c>
    </row>
    <row r="13" customFormat="false" ht="14.25" hidden="false" customHeight="true" outlineLevel="0" collapsed="false">
      <c r="A13" s="5" t="s">
        <v>529</v>
      </c>
      <c r="B13" s="25" t="s">
        <v>521</v>
      </c>
      <c r="C13" s="26" t="s">
        <v>530</v>
      </c>
      <c r="D13" s="26" t="s">
        <v>506</v>
      </c>
      <c r="E13" s="44" t="s">
        <v>507</v>
      </c>
      <c r="F13" s="26" t="s">
        <v>531</v>
      </c>
    </row>
    <row r="14" customFormat="false" ht="14.25" hidden="false" customHeight="true" outlineLevel="0" collapsed="false">
      <c r="A14" s="5" t="s">
        <v>532</v>
      </c>
      <c r="B14" s="38" t="n">
        <f aca="false">LEGAL_RESERVE_PCT</f>
        <v>0</v>
      </c>
      <c r="C14" s="26" t="s">
        <v>533</v>
      </c>
      <c r="D14" s="26" t="s">
        <v>506</v>
      </c>
      <c r="E14" s="26" t="s">
        <v>509</v>
      </c>
      <c r="F14" s="26" t="s">
        <v>534</v>
      </c>
    </row>
    <row r="16" customFormat="false" ht="14.25" hidden="false" customHeight="true" outlineLevel="0" collapsed="false">
      <c r="A16" s="4" t="s">
        <v>535</v>
      </c>
    </row>
    <row r="17" customFormat="false" ht="14.25" hidden="false" customHeight="true" outlineLevel="0" collapsed="false">
      <c r="A17" s="4" t="s">
        <v>536</v>
      </c>
      <c r="C17" s="47" t="s">
        <v>537</v>
      </c>
    </row>
    <row r="18" customFormat="false" ht="14.25" hidden="false" customHeight="true" outlineLevel="0" collapsed="false">
      <c r="A18" s="4" t="s">
        <v>538</v>
      </c>
      <c r="C18" s="47" t="s">
        <v>539</v>
      </c>
    </row>
    <row r="19" customFormat="false" ht="14.25" hidden="false" customHeight="true" outlineLevel="0" collapsed="false">
      <c r="A19" s="4" t="s">
        <v>540</v>
      </c>
      <c r="C19" s="47" t="s">
        <v>541</v>
      </c>
    </row>
    <row r="20" customFormat="false" ht="14.25" hidden="false" customHeight="true" outlineLevel="0" collapsed="false">
      <c r="A20" s="4" t="s">
        <v>542</v>
      </c>
      <c r="C20" s="47" t="s">
        <v>543</v>
      </c>
    </row>
    <row r="21" customFormat="false" ht="14.25" hidden="false" customHeight="true" outlineLevel="0" collapsed="false">
      <c r="A21" s="4" t="s">
        <v>544</v>
      </c>
      <c r="C21" s="47" t="s">
        <v>545</v>
      </c>
    </row>
    <row r="22" customFormat="false" ht="14.25" hidden="false" customHeight="true" outlineLevel="0" collapsed="false">
      <c r="A22" s="4" t="s">
        <v>546</v>
      </c>
      <c r="C22" s="47" t="s">
        <v>547</v>
      </c>
    </row>
    <row r="23" customFormat="false" ht="14.25" hidden="false" customHeight="true" outlineLevel="0" collapsed="false">
      <c r="A23" s="4" t="s">
        <v>548</v>
      </c>
      <c r="C23" s="47" t="s">
        <v>549</v>
      </c>
    </row>
    <row r="24" customFormat="false" ht="14.25" hidden="false" customHeight="true" outlineLevel="0" collapsed="false">
      <c r="A24" s="4" t="s">
        <v>550</v>
      </c>
      <c r="C24" s="47" t="s">
        <v>551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9"/>
  <sheetViews>
    <sheetView showFormulas="false" showGridLines="false" showRowColHeaders="true" showZeros="true" rightToLeft="false" tabSelected="false" showOutlineSymbols="true" defaultGridColor="true" view="normal" topLeftCell="A20" colorId="64" zoomScale="97" zoomScaleNormal="97" zoomScalePageLayoutView="100" workbookViewId="0">
      <selection pane="topLeft" activeCell="I20" activeCellId="0" sqref="I20"/>
    </sheetView>
  </sheetViews>
  <sheetFormatPr defaultColWidth="8.6796875" defaultRowHeight="14.25" zeroHeight="false" outlineLevelRow="0" outlineLevelCol="0"/>
  <cols>
    <col collapsed="false" customWidth="true" hidden="false" outlineLevel="0" max="1" min="1" style="1" width="46"/>
    <col collapsed="false" customWidth="true" hidden="false" outlineLevel="0" max="2" min="2" style="1" width="22"/>
    <col collapsed="false" customWidth="true" hidden="false" outlineLevel="0" max="4" min="4" style="1" width="14.63"/>
    <col collapsed="false" customWidth="true" hidden="false" outlineLevel="0" max="5" min="5" style="1" width="14.27"/>
    <col collapsed="false" customWidth="true" hidden="false" outlineLevel="0" max="6" min="6" style="1" width="14.09"/>
    <col collapsed="false" customWidth="true" hidden="false" outlineLevel="0" max="16" min="7" style="1" width="12.54"/>
    <col collapsed="false" customWidth="true" hidden="false" outlineLevel="0" max="17" min="17" style="1" width="11.27"/>
    <col collapsed="false" customWidth="true" hidden="false" outlineLevel="0" max="18" min="18" style="1" width="12.18"/>
  </cols>
  <sheetData>
    <row r="1" customFormat="false" ht="18" hidden="false" customHeight="true" outlineLevel="0" collapsed="false">
      <c r="A1" s="8" t="s">
        <v>552</v>
      </c>
    </row>
    <row r="2" customFormat="false" ht="14.25" hidden="false" customHeight="true" outlineLevel="0" collapsed="false">
      <c r="A2" s="4" t="s">
        <v>553</v>
      </c>
      <c r="D2" s="31" t="s">
        <v>554</v>
      </c>
      <c r="E2" s="31" t="s">
        <v>555</v>
      </c>
      <c r="F2" s="31" t="s">
        <v>556</v>
      </c>
      <c r="G2" s="31" t="s">
        <v>257</v>
      </c>
      <c r="H2" s="31" t="s">
        <v>258</v>
      </c>
      <c r="I2" s="31" t="s">
        <v>259</v>
      </c>
      <c r="J2" s="31" t="s">
        <v>260</v>
      </c>
      <c r="K2" s="31" t="s">
        <v>261</v>
      </c>
      <c r="L2" s="31" t="s">
        <v>262</v>
      </c>
      <c r="M2" s="31" t="s">
        <v>263</v>
      </c>
      <c r="N2" s="31" t="s">
        <v>264</v>
      </c>
      <c r="O2" s="31" t="s">
        <v>265</v>
      </c>
      <c r="P2" s="31" t="s">
        <v>266</v>
      </c>
      <c r="Q2" s="31" t="s">
        <v>267</v>
      </c>
      <c r="R2" s="31" t="s">
        <v>268</v>
      </c>
    </row>
    <row r="3" customFormat="false" ht="14.25" hidden="false" customHeight="true" outlineLevel="0" collapsed="false">
      <c r="A3" s="1" t="s">
        <v>557</v>
      </c>
      <c r="D3" s="48" t="n">
        <f aca="false">SUM(IDC!$B$3:$B$14)</f>
        <v>0.259259259259259</v>
      </c>
      <c r="E3" s="48" t="n">
        <f aca="false">SUM(IDC!$B$15:$B$26)</f>
        <v>0.481481481481482</v>
      </c>
      <c r="F3" s="48" t="n">
        <f aca="false">SUM(IDC!$B$27:$B$38)</f>
        <v>0.259259259259259</v>
      </c>
    </row>
    <row r="4" customFormat="false" ht="14.25" hidden="false" customHeight="true" outlineLevel="0" collapsed="false">
      <c r="A4" s="1" t="s">
        <v>558</v>
      </c>
      <c r="D4" s="21" t="n">
        <f aca="false">-BUILDING*D3</f>
        <v>-1349133189.29311</v>
      </c>
      <c r="E4" s="21" t="n">
        <f aca="false">-BUILDING*E3</f>
        <v>-2505533065.83005</v>
      </c>
      <c r="F4" s="21" t="n">
        <f aca="false">-BUILDING*F3-PREOPEN</f>
        <v>-1469133189.29311</v>
      </c>
      <c r="G4" s="21" t="n">
        <f aca="false">PL!E13-PL!E10+PL!E18+PL!E20+CashFlow!E10</f>
        <v>2380487093.67407</v>
      </c>
      <c r="H4" s="21" t="n">
        <f aca="false">PL!F13-PL!F10+PL!F18+PL!F20+CashFlow!F10</f>
        <v>728676853.522555</v>
      </c>
      <c r="I4" s="21" t="n">
        <f aca="false">PL!G13-PL!G10+PL!G18+PL!G20+CashFlow!G10</f>
        <v>954019689.976392</v>
      </c>
      <c r="J4" s="21" t="n">
        <f aca="false">PL!H13-PL!H10+PL!H18+PL!H20+CashFlow!H10</f>
        <v>1159705531.20307</v>
      </c>
      <c r="K4" s="21" t="n">
        <f aca="false">PL!I13-PL!I10+PL!I18+PL!I20+CashFlow!I10</f>
        <v>1419604496.67922</v>
      </c>
      <c r="L4" s="21" t="n">
        <f aca="false">PL!J13-PL!J10+PL!J18+PL!J20+CashFlow!J10</f>
        <v>1778183555.34381</v>
      </c>
      <c r="M4" s="21" t="n">
        <f aca="false">PL!K13-PL!K10+PL!K18+PL!K20+CashFlow!K10</f>
        <v>2227868369.24323</v>
      </c>
      <c r="N4" s="21" t="n">
        <f aca="false">PL!L13-PL!L10+PL!L18+PL!L20+CashFlow!L10</f>
        <v>2791354277.76196</v>
      </c>
      <c r="O4" s="21" t="n">
        <f aca="false">PL!M13-PL!M10+PL!M18+PL!M20+CashFlow!M10</f>
        <v>3497034718.56754</v>
      </c>
      <c r="P4" s="21" t="n">
        <f aca="false">PL!N13-PL!N10+PL!N18+PL!N20+CashFlow!N10</f>
        <v>4380421125.87484</v>
      </c>
      <c r="Q4" s="21" t="n">
        <f aca="false">PL!O13-PL!O10+PL!O18+PL!O20+CashFlow!O10</f>
        <v>5485918727.55084</v>
      </c>
      <c r="R4" s="21" t="n">
        <f aca="false">PL!P13-PL!P10+PL!P18+PL!P20+$B$9+CashFlow!P10</f>
        <v>21188323119.6079</v>
      </c>
    </row>
    <row r="5" customFormat="false" ht="14.25" hidden="false" customHeight="true" outlineLevel="0" collapsed="false">
      <c r="A5" s="1" t="s">
        <v>559</v>
      </c>
      <c r="D5" s="21" t="n">
        <f aca="false">-EQ_TDOMA*D3</f>
        <v>-1035183225.30316</v>
      </c>
      <c r="E5" s="21" t="n">
        <f aca="false">-EQ_TDOMA*E3</f>
        <v>-1922483132.70587</v>
      </c>
      <c r="F5" s="21" t="n">
        <f aca="false">-EQ_TDOMA*F3</f>
        <v>-1035183225.30316</v>
      </c>
      <c r="G5" s="21" t="n">
        <f aca="false">(G4-Financing!E12)*0.7</f>
        <v>1306448949.47837</v>
      </c>
      <c r="H5" s="21" t="n">
        <f aca="false">(H4-Financing!F12)*0.7</f>
        <v>150181781.372313</v>
      </c>
      <c r="I5" s="21" t="n">
        <f aca="false">(I4-Financing!G12)*0.7</f>
        <v>307921766.889999</v>
      </c>
      <c r="J5" s="21" t="n">
        <f aca="false">(J4-Financing!H12)*0.7</f>
        <v>451901855.748673</v>
      </c>
      <c r="K5" s="21" t="n">
        <f aca="false">(K4-Financing!I12)*0.7</f>
        <v>993723147.675455</v>
      </c>
      <c r="L5" s="21" t="n">
        <f aca="false">(L4-Financing!J12)*0.7</f>
        <v>1244728488.74067</v>
      </c>
      <c r="M5" s="21" t="n">
        <f aca="false">(M4-Financing!K12)*0.7</f>
        <v>1559507858.47026</v>
      </c>
      <c r="N5" s="21" t="n">
        <f aca="false">(N4-Financing!L12)*0.7</f>
        <v>1953947994.43337</v>
      </c>
      <c r="O5" s="21" t="n">
        <f aca="false">(O4-Financing!M12)*0.7</f>
        <v>2447924302.99728</v>
      </c>
      <c r="P5" s="21" t="n">
        <f aca="false">(P4-Financing!N12)*0.7</f>
        <v>3066294788.11239</v>
      </c>
      <c r="Q5" s="21" t="n">
        <f aca="false">(Q4-Financing!O12)*0.7</f>
        <v>3840143109.28559</v>
      </c>
      <c r="R5" s="21" t="n">
        <f aca="false">(R4-Financing!P12)*0.7</f>
        <v>14831826183.7255</v>
      </c>
    </row>
    <row r="7" customFormat="false" ht="14.25" hidden="false" customHeight="true" outlineLevel="0" collapsed="false">
      <c r="A7" s="10" t="s">
        <v>560</v>
      </c>
      <c r="B7" s="11"/>
      <c r="C7" s="11"/>
      <c r="D7" s="11"/>
      <c r="E7" s="11"/>
      <c r="F7" s="11"/>
      <c r="G7" s="11"/>
      <c r="H7" s="11"/>
      <c r="I7" s="11"/>
      <c r="J7" s="11"/>
      <c r="K7" s="11"/>
      <c r="L7" s="11"/>
      <c r="M7" s="11"/>
      <c r="N7" s="11"/>
      <c r="O7" s="11"/>
      <c r="P7" s="11"/>
    </row>
    <row r="8" customFormat="false" ht="14.25" hidden="false" customHeight="true" outlineLevel="0" collapsed="false">
      <c r="A8" s="5" t="s">
        <v>561</v>
      </c>
      <c r="B8" s="21" t="n">
        <f aca="false">PL!G13</f>
        <v>1202819191.52667</v>
      </c>
    </row>
    <row r="9" customFormat="false" ht="14.25" hidden="false" customHeight="true" outlineLevel="0" collapsed="false">
      <c r="A9" s="5" t="s">
        <v>562</v>
      </c>
      <c r="B9" s="21" t="n">
        <f aca="false">$B$8*(1+RENT_ESC)/EXIT_CAP</f>
        <v>14319276089.6032</v>
      </c>
    </row>
    <row r="11" customFormat="false" ht="14.25" hidden="false" customHeight="true" outlineLevel="0" collapsed="false">
      <c r="A11" s="4" t="s">
        <v>563</v>
      </c>
      <c r="B11" s="22" t="n">
        <f aca="false">D4+NPV(DISC,E4:R4)</f>
        <v>2860779265.57551</v>
      </c>
    </row>
    <row r="12" customFormat="false" ht="14.25" hidden="false" customHeight="true" outlineLevel="0" collapsed="false">
      <c r="A12" s="4" t="s">
        <v>564</v>
      </c>
      <c r="B12" s="49" t="n">
        <f aca="false">IRR(D4:R4)</f>
        <v>0.283064328335427</v>
      </c>
    </row>
    <row r="13" customFormat="false" ht="14.25" hidden="false" customHeight="true" outlineLevel="0" collapsed="false">
      <c r="A13" s="4" t="s">
        <v>565</v>
      </c>
      <c r="B13" s="22" t="n">
        <f aca="false">D5+NPV(COE,E5:R5)</f>
        <v>1119542382.32665</v>
      </c>
    </row>
    <row r="14" customFormat="false" ht="14.25" hidden="false" customHeight="true" outlineLevel="0" collapsed="false">
      <c r="A14" s="4" t="s">
        <v>566</v>
      </c>
      <c r="B14" s="49" t="n">
        <f aca="false">IRR(D5:R5)</f>
        <v>0.241900297026282</v>
      </c>
    </row>
    <row r="16" customFormat="false" ht="14.25" hidden="false" customHeight="true" outlineLevel="0" collapsed="false">
      <c r="A16" s="4" t="s">
        <v>567</v>
      </c>
      <c r="B16" s="49" t="n">
        <f aca="false">$B$8/CAPEX</f>
        <v>0.175496700958561</v>
      </c>
    </row>
    <row r="17" customFormat="false" ht="14.25" hidden="false" customHeight="true" outlineLevel="0" collapsed="false">
      <c r="A17" s="5" t="s">
        <v>568</v>
      </c>
      <c r="B17" s="50" t="n">
        <f aca="false">SUMIF(D5:R5,"&gt;0")/-SUMIF(D5:R5,"&lt;0")</f>
        <v>8.05303319246418</v>
      </c>
    </row>
    <row r="18" customFormat="false" ht="14.25" hidden="false" customHeight="true" outlineLevel="0" collapsed="false">
      <c r="A18" s="5" t="s">
        <v>569</v>
      </c>
      <c r="B18" s="25" t="n">
        <f aca="false">DEBT_V/CAPEX</f>
        <v>0.194191538853443</v>
      </c>
    </row>
    <row r="19" customFormat="false" ht="14.25" hidden="false" customHeight="true" outlineLevel="0" collapsed="false">
      <c r="A19" s="4" t="s">
        <v>570</v>
      </c>
      <c r="B19" s="39" t="n">
        <f aca="false">MIN(Financing!E16:K16)</f>
        <v>1.41729678530381</v>
      </c>
    </row>
    <row r="20" customFormat="false" ht="14.25" hidden="false" customHeight="true" outlineLevel="0" collapsed="false">
      <c r="A20" s="5" t="s">
        <v>571</v>
      </c>
      <c r="B20" s="50" t="n">
        <f aca="false">AVERAGE(Financing!E16:K16)</f>
        <v>2.53966624318895</v>
      </c>
    </row>
    <row r="22" customFormat="false" ht="14.25" hidden="false" customHeight="true" outlineLevel="0" collapsed="false">
      <c r="A22" s="10" t="s">
        <v>572</v>
      </c>
      <c r="B22" s="11"/>
      <c r="C22" s="11"/>
      <c r="D22" s="11"/>
      <c r="E22" s="11"/>
      <c r="F22" s="11"/>
      <c r="G22" s="11"/>
      <c r="H22" s="11"/>
      <c r="I22" s="11"/>
      <c r="J22" s="11"/>
      <c r="K22" s="11"/>
      <c r="L22" s="11"/>
      <c r="M22" s="11"/>
      <c r="N22" s="11"/>
      <c r="O22" s="11"/>
      <c r="P22" s="11"/>
    </row>
    <row r="23" customFormat="false" ht="14.25" hidden="false" customHeight="true" outlineLevel="0" collapsed="false">
      <c r="A23" s="5" t="s">
        <v>573</v>
      </c>
      <c r="B23" s="21" t="n">
        <f aca="false">$B$9</f>
        <v>14319276089.6032</v>
      </c>
    </row>
    <row r="24" customFormat="false" ht="14.25" hidden="false" customHeight="true" outlineLevel="0" collapsed="false">
      <c r="A24" s="5" t="s">
        <v>574</v>
      </c>
      <c r="B24" s="21" t="n">
        <f aca="false">RETAIL_TOT*SOLD_PCT*SALE_PRICE</f>
        <v>1684800000</v>
      </c>
    </row>
    <row r="25" customFormat="false" ht="14.25" hidden="false" customHeight="true" outlineLevel="0" collapsed="false">
      <c r="A25" s="4" t="s">
        <v>575</v>
      </c>
      <c r="B25" s="22" t="n">
        <f aca="false">B23+B24</f>
        <v>16004076089.6032</v>
      </c>
    </row>
    <row r="26" customFormat="false" ht="14.25" hidden="false" customHeight="true" outlineLevel="0" collapsed="false">
      <c r="A26" s="4" t="s">
        <v>576</v>
      </c>
      <c r="B26" s="22" t="n">
        <f aca="false">CAPEX</f>
        <v>6853799444.41627</v>
      </c>
    </row>
    <row r="27" customFormat="false" ht="14.25" hidden="false" customHeight="true" outlineLevel="0" collapsed="false">
      <c r="A27" s="4" t="s">
        <v>577</v>
      </c>
      <c r="B27" s="28" t="n">
        <f aca="false">B25-B26</f>
        <v>9150276645.18694</v>
      </c>
    </row>
    <row r="28" customFormat="false" ht="14.25" hidden="false" customHeight="true" outlineLevel="0" collapsed="false">
      <c r="A28" s="4" t="s">
        <v>578</v>
      </c>
      <c r="B28" s="51" t="n">
        <f aca="false">B27/B26</f>
        <v>1.33506629708017</v>
      </c>
    </row>
    <row r="30" customFormat="false" ht="14.25" hidden="false" customHeight="true" outlineLevel="0" collapsed="false">
      <c r="A30" s="5" t="s">
        <v>579</v>
      </c>
      <c r="B30" s="29" t="n">
        <f aca="false">CAPEX/(NET_GLA*0.7)</f>
        <v>466156.06853227</v>
      </c>
      <c r="C30" s="30"/>
    </row>
    <row r="32" customFormat="false" ht="14.25" hidden="false" customHeight="true" outlineLevel="0" collapsed="false">
      <c r="A32" s="10" t="s">
        <v>580</v>
      </c>
      <c r="B32" s="11"/>
      <c r="C32" s="11"/>
      <c r="D32" s="11"/>
      <c r="E32" s="11"/>
      <c r="F32" s="11"/>
      <c r="G32" s="11"/>
      <c r="H32" s="11"/>
      <c r="I32" s="11"/>
      <c r="J32" s="11"/>
      <c r="K32" s="11"/>
      <c r="L32" s="11"/>
      <c r="M32" s="11"/>
      <c r="N32" s="11"/>
      <c r="O32" s="11"/>
      <c r="P32" s="11"/>
    </row>
    <row r="33" customFormat="false" ht="14.25" hidden="false" customHeight="true" outlineLevel="0" collapsed="false">
      <c r="A33" s="4" t="s">
        <v>581</v>
      </c>
      <c r="E33" s="31" t="s">
        <v>257</v>
      </c>
      <c r="F33" s="31" t="s">
        <v>258</v>
      </c>
      <c r="G33" s="31" t="s">
        <v>259</v>
      </c>
      <c r="H33" s="31" t="s">
        <v>260</v>
      </c>
      <c r="I33" s="31" t="s">
        <v>261</v>
      </c>
      <c r="J33" s="31" t="s">
        <v>262</v>
      </c>
      <c r="K33" s="31" t="s">
        <v>263</v>
      </c>
      <c r="L33" s="31" t="s">
        <v>264</v>
      </c>
      <c r="M33" s="31" t="s">
        <v>265</v>
      </c>
      <c r="N33" s="31" t="s">
        <v>266</v>
      </c>
      <c r="O33" s="31" t="s">
        <v>267</v>
      </c>
      <c r="P33" s="31" t="s">
        <v>268</v>
      </c>
    </row>
    <row r="34" customFormat="false" ht="14.25" hidden="false" customHeight="true" outlineLevel="0" collapsed="false">
      <c r="A34" s="5" t="s">
        <v>582</v>
      </c>
      <c r="E34" s="24" t="n">
        <f aca="false">Balancesheet!E4+Balancesheet!E5</f>
        <v>5249275627.74619</v>
      </c>
      <c r="F34" s="24" t="n">
        <f aca="false">Balancesheet!F4+Balancesheet!F5</f>
        <v>5147740745.79387</v>
      </c>
      <c r="G34" s="24" t="n">
        <f aca="false">Balancesheet!G4+Balancesheet!G5</f>
        <v>5046205863.84155</v>
      </c>
      <c r="H34" s="24" t="n">
        <f aca="false">Balancesheet!H4+Balancesheet!H5</f>
        <v>4944670981.88924</v>
      </c>
      <c r="I34" s="24" t="n">
        <f aca="false">Balancesheet!I4+Balancesheet!I5</f>
        <v>4843136099.93692</v>
      </c>
      <c r="J34" s="24" t="n">
        <f aca="false">Balancesheet!J4+Balancesheet!J5</f>
        <v>4741601217.9846</v>
      </c>
      <c r="K34" s="24" t="n">
        <f aca="false">Balancesheet!K4+Balancesheet!K5</f>
        <v>4640066336.03228</v>
      </c>
      <c r="L34" s="24" t="n">
        <f aca="false">Balancesheet!L4+Balancesheet!L5</f>
        <v>4559018976.54945</v>
      </c>
      <c r="M34" s="24" t="n">
        <f aca="false">Balancesheet!M4+Balancesheet!M5</f>
        <v>4477971617.06662</v>
      </c>
      <c r="N34" s="24" t="n">
        <f aca="false">Balancesheet!N4+Balancesheet!N5</f>
        <v>4396924257.58378</v>
      </c>
      <c r="O34" s="24" t="n">
        <f aca="false">Balancesheet!O4+Balancesheet!O5</f>
        <v>4315876898.10095</v>
      </c>
      <c r="P34" s="24" t="n">
        <f aca="false">Balancesheet!P4+Balancesheet!P5</f>
        <v>4234829538.61812</v>
      </c>
    </row>
    <row r="35" customFormat="false" ht="14.25" hidden="false" customHeight="true" outlineLevel="0" collapsed="false">
      <c r="A35" s="5" t="s">
        <v>583</v>
      </c>
      <c r="E35" s="24" t="n">
        <f aca="false">Payback!H4/(1+DISC)^1+Payback!I4/(1+DISC)^2+Payback!J4/(1+DISC)^3+Payback!K4/(1+DISC)^4+Payback!L4/(1+DISC)^5+Payback!M4/(1+DISC)^6+Payback!N4/(1+DISC)^7+Payback!O4/(1+DISC)^8+Payback!P4/(1+DISC)^9+Payback!Q4/(1+DISC)^10+Payback!R4/(1+DISC)^11+$B$9/(1+DISC)^11</f>
        <v>10265169070.2859</v>
      </c>
      <c r="F35" s="24" t="n">
        <f aca="false">Payback!I4/(1+DISC)^1+Payback!J4/(1+DISC)^2+Payback!K4/(1+DISC)^3+Payback!L4/(1+DISC)^4+Payback!M4/(1+DISC)^5+Payback!N4/(1+DISC)^6+Payback!O4/(1+DISC)^7+Payback!P4/(1+DISC)^8+Payback!Q4/(1+DISC)^9+Payback!R4/(1+DISC)^10+$B$9/(1+DISC)^10</f>
        <v>11589526030.8205</v>
      </c>
      <c r="G35" s="24" t="n">
        <f aca="false">Payback!J4/(1+DISC)^1+Payback!K4/(1+DISC)^2+Payback!L4/(1+DISC)^3+Payback!M4/(1+DISC)^4+Payback!N4/(1+DISC)^5+Payback!O4/(1+DISC)^6+Payback!P4/(1+DISC)^7+Payback!Q4/(1+DISC)^8+Payback!R4/(1+DISC)^9+$B$9/(1+DISC)^9</f>
        <v>12953411547.0082</v>
      </c>
      <c r="H35" s="24" t="n">
        <f aca="false">Payback!K4/(1+DISC)^1+Payback!L4/(1+DISC)^2+Payback!M4/(1+DISC)^3+Payback!N4/(1+DISC)^4+Payback!O4/(1+DISC)^5+Payback!P4/(1+DISC)^6+Payback!Q4/(1+DISC)^7+Payback!R4/(1+DISC)^8+$B$9/(1+DISC)^8</f>
        <v>14384388325.2068</v>
      </c>
      <c r="I35" s="24" t="n">
        <f aca="false">Payback!L4/(1+DISC)^1+Payback!M4/(1+DISC)^2+Payback!N4/(1+DISC)^3+Payback!O4/(1+DISC)^4+Payback!P4/(1+DISC)^5+Payback!Q4/(1+DISC)^6+Payback!R4/(1+DISC)^7+$B$9/(1+DISC)^7</f>
        <v>15841661493.569</v>
      </c>
      <c r="J35" s="24" t="n">
        <f aca="false">Payback!M4/(1+DISC)^1+Payback!N4/(1+DISC)^2+Payback!O4/(1+DISC)^3+Payback!P4/(1+DISC)^4+Payback!Q4/(1+DISC)^5+Payback!R4/(1+DISC)^6+$B$9/(1+DISC)^6</f>
        <v>17231810236.9389</v>
      </c>
      <c r="K35" s="24" t="n">
        <f aca="false">Payback!N4/(1+DISC)^1+Payback!O4/(1+DISC)^2+Payback!P4/(1+DISC)^3+Payback!Q4/(1+DISC)^4+Payback!R4/(1+DISC)^5+$B$9/(1+DISC)^5</f>
        <v>18450303915.0835</v>
      </c>
      <c r="L35" s="24" t="n">
        <f aca="false">Payback!O4/(1+DISC)^1+Payback!P4/(1+DISC)^2+Payback!Q4/(1+DISC)^3+Payback!R4/(1+DISC)^4+$B$9/(1+DISC)^4</f>
        <v>19349010420.3382</v>
      </c>
      <c r="M35" s="24" t="n">
        <f aca="false">Payback!P4/(1+DISC)^1+Payback!Q4/(1+DISC)^2+Payback!R4/(1+DISC)^3+$B$9/(1+DISC)^3</f>
        <v>19721777785.8384</v>
      </c>
      <c r="N35" s="24" t="n">
        <f aca="false">Payback!Q4/(1+DISC)^1+Payback!R4/(1+DISC)^2+$B$9/(1+DISC)^2</f>
        <v>19285712217.1312</v>
      </c>
      <c r="O35" s="24" t="n">
        <f aca="false">Payback!R4/(1+DISC)^1+$B$9/(1+DISC)^1</f>
        <v>17656935933.0066</v>
      </c>
      <c r="P35" s="24" t="n">
        <f aca="false">$B$9/(1+DISC)^0</f>
        <v>14319276089.6032</v>
      </c>
    </row>
    <row r="36" customFormat="false" ht="14.25" hidden="false" customHeight="true" outlineLevel="0" collapsed="false">
      <c r="A36" s="4" t="s">
        <v>584</v>
      </c>
      <c r="E36" s="21" t="n">
        <f aca="false">E35-E34</f>
        <v>5015893442.53972</v>
      </c>
      <c r="F36" s="21" t="n">
        <f aca="false">F35-F34</f>
        <v>6441785285.02665</v>
      </c>
      <c r="G36" s="21" t="n">
        <f aca="false">G35-G34</f>
        <v>7907205683.16669</v>
      </c>
      <c r="H36" s="21" t="n">
        <f aca="false">H35-H34</f>
        <v>9439717343.31759</v>
      </c>
      <c r="I36" s="21" t="n">
        <f aca="false">I35-I34</f>
        <v>10998525393.6321</v>
      </c>
      <c r="J36" s="21" t="n">
        <f aca="false">J35-J34</f>
        <v>12490209018.9543</v>
      </c>
      <c r="K36" s="21" t="n">
        <f aca="false">K35-K34</f>
        <v>13810237579.0512</v>
      </c>
      <c r="L36" s="21" t="n">
        <f aca="false">L35-L34</f>
        <v>14789991443.7888</v>
      </c>
      <c r="M36" s="21" t="n">
        <f aca="false">M35-M34</f>
        <v>15243806168.7717</v>
      </c>
      <c r="N36" s="21" t="n">
        <f aca="false">N35-N34</f>
        <v>14888787959.5474</v>
      </c>
      <c r="O36" s="21" t="n">
        <f aca="false">O35-O34</f>
        <v>13341059034.9056</v>
      </c>
      <c r="P36" s="21" t="n">
        <f aca="false">P35-P34</f>
        <v>10084446550.9851</v>
      </c>
    </row>
    <row r="37" customFormat="false" ht="14.25" hidden="false" customHeight="true" outlineLevel="0" collapsed="false">
      <c r="A37" s="5" t="s">
        <v>585</v>
      </c>
      <c r="E37" s="4" t="str">
        <f aca="false">IF(E36&lt;0,"IMPAIRED","no")</f>
        <v>no</v>
      </c>
      <c r="F37" s="4" t="str">
        <f aca="false">IF(F36&lt;0,"IMPAIRED","no")</f>
        <v>no</v>
      </c>
      <c r="G37" s="4" t="str">
        <f aca="false">IF(G36&lt;0,"IMPAIRED","no")</f>
        <v>no</v>
      </c>
      <c r="H37" s="4" t="str">
        <f aca="false">IF(H36&lt;0,"IMPAIRED","no")</f>
        <v>no</v>
      </c>
      <c r="I37" s="4" t="str">
        <f aca="false">IF(I36&lt;0,"IMPAIRED","no")</f>
        <v>no</v>
      </c>
      <c r="J37" s="4" t="str">
        <f aca="false">IF(J36&lt;0,"IMPAIRED","no")</f>
        <v>no</v>
      </c>
      <c r="K37" s="4" t="str">
        <f aca="false">IF(K36&lt;0,"IMPAIRED","no")</f>
        <v>no</v>
      </c>
      <c r="L37" s="4" t="str">
        <f aca="false">IF(L36&lt;0,"IMPAIRED","no")</f>
        <v>no</v>
      </c>
      <c r="M37" s="4" t="str">
        <f aca="false">IF(M36&lt;0,"IMPAIRED","no")</f>
        <v>no</v>
      </c>
      <c r="N37" s="4" t="str">
        <f aca="false">IF(N36&lt;0,"IMPAIRED","no")</f>
        <v>no</v>
      </c>
      <c r="O37" s="4" t="str">
        <f aca="false">IF(O36&lt;0,"IMPAIRED","no")</f>
        <v>no</v>
      </c>
      <c r="P37" s="4" t="str">
        <f aca="false">IF(P36&lt;0,"IMPAIRED","no")</f>
        <v>no</v>
      </c>
    </row>
    <row r="39" customFormat="false" ht="14.25" hidden="false" customHeight="true" outlineLevel="0" collapsed="false">
      <c r="A39" s="23" t="s">
        <v>586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1"/>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E38" activeCellId="0" sqref="E38"/>
    </sheetView>
  </sheetViews>
  <sheetFormatPr defaultColWidth="8.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15" min="4" style="1" width="12.36"/>
    <col collapsed="false" customWidth="true" hidden="false" outlineLevel="0" max="18" min="16" style="1" width="12.18"/>
  </cols>
  <sheetData>
    <row r="1" customFormat="false" ht="18" hidden="false" customHeight="true" outlineLevel="0" collapsed="false">
      <c r="A1" s="8" t="s">
        <v>587</v>
      </c>
    </row>
    <row r="3" customFormat="false" ht="14.25" hidden="false" customHeight="true" outlineLevel="0" collapsed="false">
      <c r="A3" s="4" t="s">
        <v>553</v>
      </c>
      <c r="D3" s="31" t="s">
        <v>554</v>
      </c>
      <c r="E3" s="31" t="s">
        <v>555</v>
      </c>
      <c r="F3" s="31" t="s">
        <v>556</v>
      </c>
      <c r="G3" s="31" t="s">
        <v>257</v>
      </c>
      <c r="H3" s="31" t="s">
        <v>258</v>
      </c>
      <c r="I3" s="31" t="s">
        <v>259</v>
      </c>
      <c r="J3" s="31" t="s">
        <v>260</v>
      </c>
      <c r="K3" s="31" t="s">
        <v>261</v>
      </c>
      <c r="L3" s="31" t="s">
        <v>262</v>
      </c>
      <c r="M3" s="31" t="s">
        <v>263</v>
      </c>
      <c r="N3" s="31" t="s">
        <v>264</v>
      </c>
      <c r="O3" s="31" t="s">
        <v>265</v>
      </c>
      <c r="P3" s="31" t="s">
        <v>266</v>
      </c>
      <c r="Q3" s="31" t="s">
        <v>267</v>
      </c>
      <c r="R3" s="31" t="s">
        <v>268</v>
      </c>
    </row>
    <row r="4" customFormat="false" ht="14.25" hidden="false" customHeight="true" outlineLevel="0" collapsed="false">
      <c r="A4" s="5" t="s">
        <v>588</v>
      </c>
      <c r="D4" s="24" t="n">
        <f aca="false">Returns!D4</f>
        <v>-1349133189.29311</v>
      </c>
      <c r="E4" s="24" t="n">
        <f aca="false">Returns!E4</f>
        <v>-2505533065.83005</v>
      </c>
      <c r="F4" s="24" t="n">
        <f aca="false">Returns!F4</f>
        <v>-1469133189.29311</v>
      </c>
      <c r="G4" s="24" t="n">
        <f aca="false">Returns!G4</f>
        <v>2380487093.67407</v>
      </c>
      <c r="H4" s="24" t="n">
        <f aca="false">Returns!H4</f>
        <v>728676853.522555</v>
      </c>
      <c r="I4" s="24" t="n">
        <f aca="false">Returns!I4</f>
        <v>954019689.976392</v>
      </c>
      <c r="J4" s="24" t="n">
        <f aca="false">Returns!J4</f>
        <v>1159705531.20307</v>
      </c>
      <c r="K4" s="24" t="n">
        <f aca="false">Returns!K4</f>
        <v>1419604496.67922</v>
      </c>
      <c r="L4" s="24" t="n">
        <f aca="false">Returns!L4</f>
        <v>1778183555.34381</v>
      </c>
      <c r="M4" s="24" t="n">
        <f aca="false">Returns!M4</f>
        <v>2227868369.24323</v>
      </c>
      <c r="N4" s="24" t="n">
        <f aca="false">Returns!N4</f>
        <v>2791354277.76196</v>
      </c>
      <c r="O4" s="24" t="n">
        <f aca="false">Returns!O4</f>
        <v>3497034718.56754</v>
      </c>
      <c r="P4" s="24" t="n">
        <f aca="false">Returns!P4</f>
        <v>4380421125.87484</v>
      </c>
      <c r="Q4" s="24" t="n">
        <f aca="false">Returns!Q4</f>
        <v>5485918727.55084</v>
      </c>
      <c r="R4" s="24" t="n">
        <f aca="false">Returns!R4-Returns!$B$9</f>
        <v>6869047030.00468</v>
      </c>
    </row>
    <row r="5" customFormat="false" ht="14.25" hidden="false" customHeight="true" outlineLevel="0" collapsed="false">
      <c r="A5" s="5" t="s">
        <v>589</v>
      </c>
      <c r="D5" s="24" t="n">
        <f aca="false">D4</f>
        <v>-1349133189.29311</v>
      </c>
      <c r="E5" s="24" t="n">
        <f aca="false">D5+E4</f>
        <v>-3854666255.12316</v>
      </c>
      <c r="F5" s="24" t="n">
        <f aca="false">E5+F4</f>
        <v>-5323799444.41627</v>
      </c>
      <c r="G5" s="24" t="n">
        <f aca="false">F5+G4</f>
        <v>-2943312350.7422</v>
      </c>
      <c r="H5" s="24" t="n">
        <f aca="false">G5+H4</f>
        <v>-2214635497.21964</v>
      </c>
      <c r="I5" s="24" t="n">
        <f aca="false">H5+I4</f>
        <v>-1260615807.24325</v>
      </c>
      <c r="J5" s="24" t="n">
        <f aca="false">I5+J4</f>
        <v>-100910276.040183</v>
      </c>
      <c r="K5" s="24" t="n">
        <f aca="false">J5+K4</f>
        <v>1318694220.63904</v>
      </c>
      <c r="L5" s="24" t="n">
        <f aca="false">K5+L4</f>
        <v>3096877775.98285</v>
      </c>
      <c r="M5" s="24" t="n">
        <f aca="false">L5+M4</f>
        <v>5324746145.22608</v>
      </c>
      <c r="N5" s="24" t="n">
        <f aca="false">M5+N4</f>
        <v>8116100422.98804</v>
      </c>
      <c r="O5" s="24" t="n">
        <f aca="false">N5+O4</f>
        <v>11613135141.5556</v>
      </c>
      <c r="P5" s="24" t="n">
        <f aca="false">O5+P4</f>
        <v>15993556267.4304</v>
      </c>
      <c r="Q5" s="24" t="n">
        <f aca="false">P5+Q4</f>
        <v>21479474994.9813</v>
      </c>
      <c r="R5" s="24" t="n">
        <f aca="false">Q5+R4</f>
        <v>28348522024.9859</v>
      </c>
    </row>
    <row r="6" customFormat="false" ht="14.25" hidden="false" customHeight="true" outlineLevel="0" collapsed="false">
      <c r="A6" s="5" t="s">
        <v>590</v>
      </c>
      <c r="D6" s="24" t="n">
        <f aca="false">D4/(1+DISC)^0</f>
        <v>-1349133189.29311</v>
      </c>
      <c r="E6" s="24" t="n">
        <f aca="false">E4/(1+DISC)^1</f>
        <v>-2087944221.52505</v>
      </c>
      <c r="F6" s="24" t="n">
        <f aca="false">F4/(1+DISC)^2</f>
        <v>-1020231381.45355</v>
      </c>
      <c r="G6" s="24" t="n">
        <f aca="false">G4/(1+DISC)^3</f>
        <v>1377596697.72805</v>
      </c>
      <c r="H6" s="24" t="n">
        <f aca="false">H4/(1+DISC)^4</f>
        <v>351406661.613886</v>
      </c>
      <c r="I6" s="24" t="n">
        <f aca="false">I4/(1+DISC)^5</f>
        <v>383399116.663609</v>
      </c>
      <c r="J6" s="24" t="n">
        <f aca="false">J4/(1+DISC)^6</f>
        <v>388383035.944958</v>
      </c>
      <c r="K6" s="24" t="n">
        <f aca="false">K4/(1+DISC)^7</f>
        <v>396185561.353539</v>
      </c>
      <c r="L6" s="24" t="n">
        <f aca="false">L4/(1+DISC)^8</f>
        <v>413548663.090955</v>
      </c>
      <c r="M6" s="24" t="n">
        <f aca="false">M4/(1+DISC)^9</f>
        <v>431775815.491774</v>
      </c>
      <c r="N6" s="24" t="n">
        <f aca="false">N4/(1+DISC)^10</f>
        <v>450819299.682009</v>
      </c>
      <c r="O6" s="24" t="n">
        <f aca="false">O4/(1+DISC)^11</f>
        <v>470658858.840232</v>
      </c>
      <c r="P6" s="24" t="n">
        <f aca="false">P4/(1+DISC)^12</f>
        <v>491293380.025979</v>
      </c>
      <c r="Q6" s="24" t="n">
        <f aca="false">Q4/(1+DISC)^13</f>
        <v>512735244.085313</v>
      </c>
      <c r="R6" s="24" t="n">
        <f aca="false">R4/(1+DISC)^14</f>
        <v>535006483.641334</v>
      </c>
    </row>
    <row r="7" customFormat="false" ht="14.25" hidden="false" customHeight="true" outlineLevel="0" collapsed="false">
      <c r="A7" s="5" t="s">
        <v>591</v>
      </c>
      <c r="D7" s="24" t="n">
        <f aca="false">D6</f>
        <v>-1349133189.29311</v>
      </c>
      <c r="E7" s="24" t="n">
        <f aca="false">D7+E6</f>
        <v>-3437077410.81815</v>
      </c>
      <c r="F7" s="24" t="n">
        <f aca="false">E7+F6</f>
        <v>-4457308792.2717</v>
      </c>
      <c r="G7" s="24" t="n">
        <f aca="false">F7+G6</f>
        <v>-3079712094.54365</v>
      </c>
      <c r="H7" s="24" t="n">
        <f aca="false">G7+H6</f>
        <v>-2728305432.92976</v>
      </c>
      <c r="I7" s="24" t="n">
        <f aca="false">H7+I6</f>
        <v>-2344906316.26615</v>
      </c>
      <c r="J7" s="24" t="n">
        <f aca="false">I7+J6</f>
        <v>-1956523280.3212</v>
      </c>
      <c r="K7" s="24" t="n">
        <f aca="false">J7+K6</f>
        <v>-1560337718.96766</v>
      </c>
      <c r="L7" s="24" t="n">
        <f aca="false">K7+L6</f>
        <v>-1146789055.8767</v>
      </c>
      <c r="M7" s="24" t="n">
        <f aca="false">L7+M6</f>
        <v>-715013240.384928</v>
      </c>
      <c r="N7" s="24" t="n">
        <f aca="false">M7+N6</f>
        <v>-264193940.702919</v>
      </c>
      <c r="O7" s="24" t="n">
        <f aca="false">N7+O6</f>
        <v>206464918.137314</v>
      </c>
      <c r="P7" s="24" t="n">
        <f aca="false">O7+P6</f>
        <v>697758298.163293</v>
      </c>
      <c r="Q7" s="24" t="n">
        <f aca="false">P7+Q6</f>
        <v>1210493542.24861</v>
      </c>
      <c r="R7" s="24" t="n">
        <f aca="false">Q7+R6</f>
        <v>1745500025.88994</v>
      </c>
    </row>
    <row r="9" customFormat="false" ht="14.25" hidden="false" customHeight="true" outlineLevel="0" collapsed="false">
      <c r="A9" s="10" t="s">
        <v>592</v>
      </c>
      <c r="B9" s="11"/>
      <c r="C9" s="11"/>
      <c r="D9" s="11"/>
      <c r="E9" s="11"/>
      <c r="F9" s="11"/>
      <c r="G9" s="11"/>
      <c r="H9" s="11"/>
      <c r="I9" s="11"/>
      <c r="J9" s="11"/>
      <c r="K9" s="11"/>
      <c r="L9" s="11"/>
      <c r="M9" s="11"/>
      <c r="N9" s="11"/>
      <c r="O9" s="11"/>
      <c r="P9" s="11"/>
    </row>
    <row r="10" customFormat="false" ht="14.25" hidden="false" customHeight="true" outlineLevel="0" collapsed="false">
      <c r="A10" s="5" t="s">
        <v>593</v>
      </c>
      <c r="B10" s="5" t="n">
        <f aca="false">IFERROR(SUMPRODUCT((D5:R5&lt;0)*1)+1,"never")</f>
        <v>8</v>
      </c>
    </row>
    <row r="11" customFormat="false" ht="14.25" hidden="false" customHeight="true" outlineLevel="0" collapsed="false">
      <c r="A11" s="5" t="s">
        <v>594</v>
      </c>
      <c r="B11" s="21" t="n">
        <f aca="false">IFERROR(IF((SUMPRODUCT((D5:R5&lt;0)*1)+1)=1,0,INDEX(D5:R5,(SUMPRODUCT((D5:R5&lt;0)*1)+1)-1)),"")</f>
        <v>-100910276.040183</v>
      </c>
    </row>
    <row r="12" customFormat="false" ht="14.25" hidden="false" customHeight="true" outlineLevel="0" collapsed="false">
      <c r="A12" s="5" t="s">
        <v>595</v>
      </c>
      <c r="B12" s="21" t="n">
        <f aca="false">IFERROR(INDEX(D4:R4,SUMPRODUCT((D5:R5&lt;0)*1)+1),"")</f>
        <v>1419604496.67922</v>
      </c>
    </row>
    <row r="13" customFormat="false" ht="14.25" hidden="false" customHeight="true" outlineLevel="0" collapsed="false">
      <c r="A13" s="5" t="s">
        <v>596</v>
      </c>
      <c r="B13" s="52" t="n">
        <f aca="false">IFERROR(-B11/B12,"")</f>
        <v>0.071083373063579</v>
      </c>
    </row>
    <row r="14" customFormat="false" ht="14.25" hidden="false" customHeight="true" outlineLevel="0" collapsed="false">
      <c r="A14" s="4" t="s">
        <v>597</v>
      </c>
      <c r="B14" s="53" t="n">
        <f aca="false">IFERROR(MAX(B10-1,0)+B13,"beyond horizon")</f>
        <v>7.07108337306358</v>
      </c>
    </row>
    <row r="16" customFormat="false" ht="14.25" hidden="false" customHeight="true" outlineLevel="0" collapsed="false">
      <c r="A16" s="10" t="s">
        <v>598</v>
      </c>
      <c r="B16" s="11"/>
      <c r="C16" s="11"/>
      <c r="D16" s="11"/>
      <c r="E16" s="11"/>
      <c r="F16" s="11"/>
      <c r="G16" s="11"/>
      <c r="H16" s="11"/>
      <c r="I16" s="11"/>
      <c r="J16" s="11"/>
      <c r="K16" s="11"/>
      <c r="L16" s="11"/>
      <c r="M16" s="11"/>
      <c r="N16" s="11"/>
      <c r="O16" s="11"/>
      <c r="P16" s="11"/>
    </row>
    <row r="17" customFormat="false" ht="14.25" hidden="false" customHeight="true" outlineLevel="0" collapsed="false">
      <c r="A17" s="5" t="s">
        <v>593</v>
      </c>
      <c r="B17" s="5" t="n">
        <f aca="false">IFERROR(SUMPRODUCT((D7:R7&lt;0)*1)+1,"never")</f>
        <v>12</v>
      </c>
    </row>
    <row r="18" customFormat="false" ht="14.25" hidden="false" customHeight="true" outlineLevel="0" collapsed="false">
      <c r="A18" s="5" t="s">
        <v>594</v>
      </c>
      <c r="B18" s="21" t="n">
        <f aca="false">IFERROR(IF((SUMPRODUCT((D7:R7&lt;0)*1)+1)=1,0,INDEX(D7:R7,(SUMPRODUCT((D7:R7&lt;0)*1)+1)-1)),"")</f>
        <v>-264193940.702919</v>
      </c>
    </row>
    <row r="19" customFormat="false" ht="14.25" hidden="false" customHeight="true" outlineLevel="0" collapsed="false">
      <c r="A19" s="5" t="s">
        <v>595</v>
      </c>
      <c r="B19" s="21" t="n">
        <f aca="false">IFERROR(INDEX(D6:R6,SUMPRODUCT((D7:R7&lt;0)*1)+1),"")</f>
        <v>470658858.840232</v>
      </c>
    </row>
    <row r="20" customFormat="false" ht="14.25" hidden="false" customHeight="true" outlineLevel="0" collapsed="false">
      <c r="A20" s="5" t="s">
        <v>596</v>
      </c>
      <c r="B20" s="52" t="n">
        <f aca="false">IFERROR(-B18/B19,"")</f>
        <v>0.561327882691784</v>
      </c>
    </row>
    <row r="21" customFormat="false" ht="14.25" hidden="false" customHeight="true" outlineLevel="0" collapsed="false">
      <c r="A21" s="4" t="s">
        <v>597</v>
      </c>
      <c r="B21" s="53" t="n">
        <f aca="false">IFERROR(MAX(B17-1,0)+B20,"beyond horizon")</f>
        <v>11.5613278826918</v>
      </c>
    </row>
    <row r="23" customFormat="false" ht="14.25" hidden="false" customHeight="true" outlineLevel="0" collapsed="false">
      <c r="A23" s="10" t="s">
        <v>599</v>
      </c>
      <c r="B23" s="11"/>
      <c r="C23" s="11"/>
      <c r="D23" s="11"/>
      <c r="E23" s="11"/>
      <c r="F23" s="11"/>
      <c r="G23" s="11"/>
      <c r="H23" s="11"/>
      <c r="I23" s="11"/>
      <c r="J23" s="11"/>
      <c r="K23" s="11"/>
      <c r="L23" s="11"/>
      <c r="M23" s="11"/>
      <c r="N23" s="11"/>
      <c r="O23" s="11"/>
      <c r="P23" s="11"/>
    </row>
    <row r="24" customFormat="false" ht="14.25" hidden="false" customHeight="true" outlineLevel="0" collapsed="false">
      <c r="A24" s="5" t="s">
        <v>600</v>
      </c>
      <c r="D24" s="24" t="n">
        <f aca="false">Returns!D5</f>
        <v>-1035183225.30316</v>
      </c>
      <c r="E24" s="24" t="n">
        <f aca="false">Returns!E5</f>
        <v>-1922483132.70587</v>
      </c>
      <c r="F24" s="24" t="n">
        <f aca="false">Returns!F5</f>
        <v>-1035183225.30316</v>
      </c>
      <c r="G24" s="24" t="n">
        <f aca="false">Returns!G5</f>
        <v>1306448949.47837</v>
      </c>
      <c r="H24" s="24" t="n">
        <f aca="false">Returns!H5</f>
        <v>150181781.372313</v>
      </c>
      <c r="I24" s="24" t="n">
        <f aca="false">Returns!I5</f>
        <v>307921766.889999</v>
      </c>
      <c r="J24" s="24" t="n">
        <f aca="false">Returns!J5</f>
        <v>451901855.748673</v>
      </c>
      <c r="K24" s="24" t="n">
        <f aca="false">Returns!K5</f>
        <v>993723147.675455</v>
      </c>
      <c r="L24" s="24" t="n">
        <f aca="false">Returns!L5</f>
        <v>1244728488.74067</v>
      </c>
      <c r="M24" s="24" t="n">
        <f aca="false">Returns!M5</f>
        <v>1559507858.47026</v>
      </c>
      <c r="N24" s="24" t="n">
        <f aca="false">Returns!N5</f>
        <v>1953947994.43337</v>
      </c>
      <c r="O24" s="24" t="n">
        <f aca="false">Returns!O5</f>
        <v>2447924302.99728</v>
      </c>
      <c r="P24" s="24" t="n">
        <f aca="false">Returns!P5</f>
        <v>3066294788.11239</v>
      </c>
      <c r="Q24" s="24" t="n">
        <f aca="false">Returns!Q5</f>
        <v>3840143109.28559</v>
      </c>
      <c r="R24" s="24" t="n">
        <f aca="false">Returns!R5-Returns!$B$9*0.7</f>
        <v>4808332921.00328</v>
      </c>
    </row>
    <row r="25" customFormat="false" ht="14.25" hidden="false" customHeight="true" outlineLevel="0" collapsed="false">
      <c r="A25" s="5" t="s">
        <v>601</v>
      </c>
      <c r="D25" s="24" t="n">
        <f aca="false">D24</f>
        <v>-1035183225.30316</v>
      </c>
      <c r="E25" s="24" t="n">
        <f aca="false">D25+E24</f>
        <v>-2957666358.00904</v>
      </c>
      <c r="F25" s="24" t="n">
        <f aca="false">E25+F24</f>
        <v>-3992849583.3122</v>
      </c>
      <c r="G25" s="24" t="n">
        <f aca="false">F25+G24</f>
        <v>-2686400633.83383</v>
      </c>
      <c r="H25" s="24" t="n">
        <f aca="false">G25+H24</f>
        <v>-2536218852.46151</v>
      </c>
      <c r="I25" s="24" t="n">
        <f aca="false">H25+I24</f>
        <v>-2228297085.57152</v>
      </c>
      <c r="J25" s="24" t="n">
        <f aca="false">I25+J24</f>
        <v>-1776395229.82284</v>
      </c>
      <c r="K25" s="24" t="n">
        <f aca="false">J25+K24</f>
        <v>-782672082.147388</v>
      </c>
      <c r="L25" s="24" t="n">
        <f aca="false">K25+L24</f>
        <v>462056406.593281</v>
      </c>
      <c r="M25" s="24" t="n">
        <f aca="false">L25+M24</f>
        <v>2021564265.06354</v>
      </c>
      <c r="N25" s="24" t="n">
        <f aca="false">M25+N24</f>
        <v>3975512259.49691</v>
      </c>
      <c r="O25" s="24" t="n">
        <f aca="false">N25+O24</f>
        <v>6423436562.49419</v>
      </c>
      <c r="P25" s="24" t="n">
        <f aca="false">O25+P24</f>
        <v>9489731350.60658</v>
      </c>
      <c r="Q25" s="24" t="n">
        <f aca="false">P25+Q24</f>
        <v>13329874459.8922</v>
      </c>
      <c r="R25" s="24" t="n">
        <f aca="false">Q25+R24</f>
        <v>18138207380.8954</v>
      </c>
    </row>
    <row r="26" customFormat="false" ht="14.25" hidden="false" customHeight="true" outlineLevel="0" collapsed="false">
      <c r="A26" s="5" t="s">
        <v>602</v>
      </c>
      <c r="D26" s="24" t="n">
        <f aca="false">D24/(1+COE)^0</f>
        <v>-1035183225.30316</v>
      </c>
      <c r="E26" s="24" t="n">
        <f aca="false">E24/(1+COE)^1</f>
        <v>-1602069277.25489</v>
      </c>
      <c r="F26" s="24" t="n">
        <f aca="false">F24/(1+COE)^2</f>
        <v>-718877239.793863</v>
      </c>
      <c r="G26" s="24" t="n">
        <f aca="false">G24/(1+COE)^3</f>
        <v>756046845.762946</v>
      </c>
      <c r="H26" s="24" t="n">
        <f aca="false">H24/(1+COE)^4</f>
        <v>72425627.5908147</v>
      </c>
      <c r="I26" s="24" t="n">
        <f aca="false">I24/(1+COE)^5</f>
        <v>123746852.048772</v>
      </c>
      <c r="J26" s="24" t="n">
        <f aca="false">J24/(1+COE)^6</f>
        <v>151341017.148341</v>
      </c>
      <c r="K26" s="24" t="n">
        <f aca="false">K24/(1+COE)^7</f>
        <v>277329892.947477</v>
      </c>
      <c r="L26" s="24" t="n">
        <f aca="false">L24/(1+COE)^8</f>
        <v>289484064.163668</v>
      </c>
      <c r="M26" s="24" t="n">
        <f aca="false">M24/(1+COE)^9</f>
        <v>302243070.844242</v>
      </c>
      <c r="N26" s="24" t="n">
        <f aca="false">N24/(1+COE)^10</f>
        <v>315573509.777406</v>
      </c>
      <c r="O26" s="24" t="n">
        <f aca="false">O24/(1+COE)^11</f>
        <v>329461201.188163</v>
      </c>
      <c r="P26" s="24" t="n">
        <f aca="false">P24/(1+COE)^12</f>
        <v>343905366.018186</v>
      </c>
      <c r="Q26" s="24" t="n">
        <f aca="false">Q24/(1+COE)^13</f>
        <v>358914670.859719</v>
      </c>
      <c r="R26" s="24" t="n">
        <f aca="false">R24/(1+COE)^14</f>
        <v>374504538.548934</v>
      </c>
    </row>
    <row r="27" customFormat="false" ht="14.25" hidden="false" customHeight="true" outlineLevel="0" collapsed="false">
      <c r="A27" s="5" t="s">
        <v>603</v>
      </c>
      <c r="D27" s="24" t="n">
        <f aca="false">D26</f>
        <v>-1035183225.30316</v>
      </c>
      <c r="E27" s="24" t="n">
        <f aca="false">D27+E26</f>
        <v>-2637252502.55806</v>
      </c>
      <c r="F27" s="24" t="n">
        <f aca="false">E27+F26</f>
        <v>-3356129742.35192</v>
      </c>
      <c r="G27" s="24" t="n">
        <f aca="false">F27+G26</f>
        <v>-2600082896.58897</v>
      </c>
      <c r="H27" s="24" t="n">
        <f aca="false">G27+H26</f>
        <v>-2527657268.99816</v>
      </c>
      <c r="I27" s="24" t="n">
        <f aca="false">H27+I26</f>
        <v>-2403910416.94939</v>
      </c>
      <c r="J27" s="24" t="n">
        <f aca="false">I27+J26</f>
        <v>-2252569399.80105</v>
      </c>
      <c r="K27" s="24" t="n">
        <f aca="false">J27+K26</f>
        <v>-1975239506.85357</v>
      </c>
      <c r="L27" s="24" t="n">
        <f aca="false">K27+L26</f>
        <v>-1685755442.6899</v>
      </c>
      <c r="M27" s="24" t="n">
        <f aca="false">L27+M26</f>
        <v>-1383512371.84566</v>
      </c>
      <c r="N27" s="24" t="n">
        <f aca="false">M27+N26</f>
        <v>-1067938862.06825</v>
      </c>
      <c r="O27" s="24" t="n">
        <f aca="false">N27+O26</f>
        <v>-738477660.880091</v>
      </c>
      <c r="P27" s="24" t="n">
        <f aca="false">O27+P26</f>
        <v>-394572294.861905</v>
      </c>
      <c r="Q27" s="24" t="n">
        <f aca="false">P27+Q26</f>
        <v>-35657624.0021864</v>
      </c>
      <c r="R27" s="24" t="n">
        <f aca="false">Q27+R26</f>
        <v>338846914.546747</v>
      </c>
    </row>
    <row r="29" customFormat="false" ht="14.25" hidden="false" customHeight="true" outlineLevel="0" collapsed="false">
      <c r="A29" s="10" t="s">
        <v>604</v>
      </c>
      <c r="B29" s="11"/>
      <c r="C29" s="11"/>
      <c r="D29" s="11"/>
      <c r="E29" s="11"/>
      <c r="F29" s="11"/>
      <c r="G29" s="11"/>
      <c r="H29" s="11"/>
      <c r="I29" s="11"/>
      <c r="J29" s="11"/>
      <c r="K29" s="11"/>
      <c r="L29" s="11"/>
      <c r="M29" s="11"/>
      <c r="N29" s="11"/>
      <c r="O29" s="11"/>
      <c r="P29" s="11"/>
    </row>
    <row r="30" customFormat="false" ht="14.25" hidden="false" customHeight="true" outlineLevel="0" collapsed="false">
      <c r="A30" s="5" t="s">
        <v>593</v>
      </c>
      <c r="B30" s="5" t="n">
        <f aca="false">IFERROR(SUMPRODUCT((D25:R25&lt;0)*1)+1,"never")</f>
        <v>9</v>
      </c>
    </row>
    <row r="31" customFormat="false" ht="14.25" hidden="false" customHeight="true" outlineLevel="0" collapsed="false">
      <c r="A31" s="5" t="s">
        <v>594</v>
      </c>
      <c r="B31" s="21" t="n">
        <f aca="false">IFERROR(IF((SUMPRODUCT((D25:R25&lt;0)*1)+1)=1,0,INDEX(D25:R25,(SUMPRODUCT((D25:R25&lt;0)*1)+1)-1)),"")</f>
        <v>-782672082.147388</v>
      </c>
    </row>
    <row r="32" customFormat="false" ht="14.25" hidden="false" customHeight="true" outlineLevel="0" collapsed="false">
      <c r="A32" s="5" t="s">
        <v>595</v>
      </c>
      <c r="B32" s="21" t="n">
        <f aca="false">IFERROR(INDEX(D24:R24,SUMPRODUCT((D25:R25&lt;0)*1)+1),"")</f>
        <v>1244728488.74067</v>
      </c>
    </row>
    <row r="33" customFormat="false" ht="14.25" hidden="false" customHeight="true" outlineLevel="0" collapsed="false">
      <c r="A33" s="5" t="s">
        <v>596</v>
      </c>
      <c r="B33" s="52" t="n">
        <f aca="false">IFERROR(-B31/B32,"")</f>
        <v>0.628789402048026</v>
      </c>
    </row>
    <row r="34" customFormat="false" ht="14.25" hidden="false" customHeight="true" outlineLevel="0" collapsed="false">
      <c r="A34" s="4" t="s">
        <v>597</v>
      </c>
      <c r="B34" s="53" t="n">
        <f aca="false">IFERROR(MAX(B30-1,0)+B33,"beyond horizon")</f>
        <v>8.62878940204803</v>
      </c>
    </row>
    <row r="36" customFormat="false" ht="14.25" hidden="false" customHeight="true" outlineLevel="0" collapsed="false">
      <c r="A36" s="10" t="s">
        <v>605</v>
      </c>
      <c r="B36" s="11"/>
      <c r="C36" s="11"/>
      <c r="D36" s="11"/>
      <c r="E36" s="11"/>
      <c r="F36" s="11"/>
      <c r="G36" s="11"/>
      <c r="H36" s="11"/>
      <c r="I36" s="11"/>
      <c r="J36" s="11"/>
      <c r="K36" s="11"/>
      <c r="L36" s="11"/>
      <c r="M36" s="11"/>
      <c r="N36" s="11"/>
      <c r="O36" s="11"/>
      <c r="P36" s="11"/>
    </row>
    <row r="37" customFormat="false" ht="14.25" hidden="false" customHeight="true" outlineLevel="0" collapsed="false">
      <c r="A37" s="5" t="s">
        <v>593</v>
      </c>
      <c r="B37" s="5" t="n">
        <f aca="false">IFERROR(SUMPRODUCT((D27:R27&lt;0)*1)+1,"never")</f>
        <v>15</v>
      </c>
    </row>
    <row r="38" customFormat="false" ht="14.25" hidden="false" customHeight="true" outlineLevel="0" collapsed="false">
      <c r="A38" s="5" t="s">
        <v>594</v>
      </c>
      <c r="B38" s="21" t="n">
        <f aca="false">IFERROR(IF((SUMPRODUCT((D27:R27&lt;0)*1)+1)=1,0,INDEX(D27:R27,(SUMPRODUCT((D27:R27&lt;0)*1)+1)-1)),"")</f>
        <v>-35657624.0021864</v>
      </c>
    </row>
    <row r="39" customFormat="false" ht="14.25" hidden="false" customHeight="true" outlineLevel="0" collapsed="false">
      <c r="A39" s="5" t="s">
        <v>595</v>
      </c>
      <c r="B39" s="21" t="n">
        <f aca="false">IFERROR(INDEX(D26:R26,SUMPRODUCT((D27:R27&lt;0)*1)+1),"")</f>
        <v>374504538.548934</v>
      </c>
    </row>
    <row r="40" customFormat="false" ht="14.25" hidden="false" customHeight="true" outlineLevel="0" collapsed="false">
      <c r="A40" s="5" t="s">
        <v>596</v>
      </c>
      <c r="B40" s="52" t="n">
        <f aca="false">IFERROR(-B38/B39,"")</f>
        <v>0.0952127953918703</v>
      </c>
    </row>
    <row r="41" customFormat="false" ht="14.25" hidden="false" customHeight="true" outlineLevel="0" collapsed="false">
      <c r="A41" s="4" t="s">
        <v>597</v>
      </c>
      <c r="B41" s="53" t="n">
        <f aca="false">IFERROR(MAX(B37-1,0)+B40,"beyond horizon")</f>
        <v>14.0952127953919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6" activeCellId="0" sqref="C16"/>
    </sheetView>
  </sheetViews>
  <sheetFormatPr defaultColWidth="8.6796875" defaultRowHeight="14.25" zeroHeight="false" outlineLevelRow="0" outlineLevelCol="0"/>
  <cols>
    <col collapsed="false" customWidth="true" hidden="false" outlineLevel="0" max="1" min="1" style="1" width="42"/>
    <col collapsed="false" customWidth="true" hidden="false" outlineLevel="0" max="6" min="2" style="1" width="16"/>
  </cols>
  <sheetData>
    <row r="1" customFormat="false" ht="18" hidden="false" customHeight="true" outlineLevel="0" collapsed="false">
      <c r="A1" s="8" t="s">
        <v>606</v>
      </c>
    </row>
    <row r="2" customFormat="false" ht="14.25" hidden="false" customHeight="true" outlineLevel="0" collapsed="false">
      <c r="A2" s="10" t="s">
        <v>607</v>
      </c>
      <c r="B2" s="11"/>
      <c r="C2" s="11"/>
      <c r="D2" s="11"/>
      <c r="E2" s="11"/>
      <c r="F2" s="11"/>
    </row>
    <row r="3" customFormat="false" ht="14.25" hidden="false" customHeight="true" outlineLevel="0" collapsed="false">
      <c r="A3" s="9" t="s">
        <v>608</v>
      </c>
      <c r="B3" s="9" t="s">
        <v>609</v>
      </c>
      <c r="C3" s="9" t="s">
        <v>610</v>
      </c>
    </row>
    <row r="4" customFormat="false" ht="14.25" hidden="false" customHeight="true" outlineLevel="0" collapsed="false">
      <c r="A4" s="5" t="s">
        <v>611</v>
      </c>
      <c r="B4" s="54" t="n">
        <v>0.0866</v>
      </c>
      <c r="C4" s="5" t="s">
        <v>612</v>
      </c>
    </row>
    <row r="5" customFormat="false" ht="14.25" hidden="false" customHeight="true" outlineLevel="0" collapsed="false">
      <c r="A5" s="5" t="s">
        <v>613</v>
      </c>
      <c r="B5" s="54" t="n">
        <v>0.4561</v>
      </c>
      <c r="C5" s="5" t="s">
        <v>614</v>
      </c>
    </row>
    <row r="6" customFormat="false" ht="14.25" hidden="false" customHeight="true" outlineLevel="0" collapsed="false">
      <c r="A6" s="5" t="s">
        <v>615</v>
      </c>
      <c r="B6" s="54" t="n">
        <v>0.8471</v>
      </c>
      <c r="C6" s="5" t="s">
        <v>616</v>
      </c>
    </row>
    <row r="7" customFormat="false" ht="14.25" hidden="false" customHeight="true" outlineLevel="0" collapsed="false">
      <c r="A7" s="5" t="s">
        <v>617</v>
      </c>
      <c r="B7" s="54" t="n">
        <v>0.3295</v>
      </c>
      <c r="C7" s="5" t="s">
        <v>614</v>
      </c>
    </row>
    <row r="8" customFormat="false" ht="14.25" hidden="false" customHeight="true" outlineLevel="0" collapsed="false">
      <c r="A8" s="5" t="s">
        <v>618</v>
      </c>
      <c r="B8" s="54" t="n">
        <v>0.6251</v>
      </c>
      <c r="C8" s="5" t="s">
        <v>619</v>
      </c>
    </row>
    <row r="9" customFormat="false" ht="14.25" hidden="false" customHeight="true" outlineLevel="0" collapsed="false">
      <c r="A9" s="55" t="s">
        <v>620</v>
      </c>
    </row>
    <row r="10" customFormat="false" ht="14.25" hidden="false" customHeight="true" outlineLevel="0" collapsed="false">
      <c r="A10" s="10" t="s">
        <v>621</v>
      </c>
      <c r="B10" s="11"/>
      <c r="C10" s="11"/>
      <c r="D10" s="11"/>
      <c r="E10" s="11"/>
      <c r="F10" s="11"/>
    </row>
    <row r="11" customFormat="false" ht="14.25" hidden="false" customHeight="true" outlineLevel="0" collapsed="false">
      <c r="A11" s="9" t="s">
        <v>608</v>
      </c>
      <c r="B11" s="9" t="s">
        <v>622</v>
      </c>
      <c r="C11" s="9" t="s">
        <v>623</v>
      </c>
    </row>
    <row r="12" customFormat="false" ht="14.25" hidden="false" customHeight="true" outlineLevel="0" collapsed="false">
      <c r="A12" s="5" t="s">
        <v>611</v>
      </c>
      <c r="B12" s="5" t="n">
        <v>0.0866</v>
      </c>
      <c r="C12" s="5" t="n">
        <v>376</v>
      </c>
    </row>
    <row r="13" customFormat="false" ht="14.25" hidden="false" customHeight="true" outlineLevel="0" collapsed="false">
      <c r="A13" s="5" t="s">
        <v>624</v>
      </c>
      <c r="B13" s="50" t="n">
        <v>0.4561</v>
      </c>
      <c r="C13" s="29" t="n">
        <v>1978</v>
      </c>
    </row>
    <row r="14" customFormat="false" ht="14.25" hidden="false" customHeight="true" outlineLevel="0" collapsed="false">
      <c r="A14" s="5" t="s">
        <v>615</v>
      </c>
      <c r="B14" s="50" t="n">
        <v>0.8471</v>
      </c>
      <c r="C14" s="29" t="n">
        <v>3673</v>
      </c>
    </row>
    <row r="15" customFormat="false" ht="14.25" hidden="false" customHeight="true" outlineLevel="0" collapsed="false">
      <c r="A15" s="5" t="s">
        <v>617</v>
      </c>
      <c r="B15" s="50" t="n">
        <v>0.3295</v>
      </c>
      <c r="C15" s="29" t="n">
        <v>1429</v>
      </c>
    </row>
    <row r="16" customFormat="false" ht="14.25" hidden="false" customHeight="true" outlineLevel="0" collapsed="false">
      <c r="A16" s="5" t="s">
        <v>625</v>
      </c>
      <c r="B16" s="50" t="n">
        <v>0.981</v>
      </c>
      <c r="C16" s="29" t="n">
        <v>4254</v>
      </c>
    </row>
    <row r="17" customFormat="false" ht="14.25" hidden="false" customHeight="true" outlineLevel="0" collapsed="false">
      <c r="A17" s="56" t="s">
        <v>626</v>
      </c>
    </row>
    <row r="19" customFormat="false" ht="14.25" hidden="false" customHeight="true" outlineLevel="0" collapsed="false">
      <c r="A19" s="10" t="s">
        <v>627</v>
      </c>
      <c r="B19" s="11"/>
      <c r="C19" s="11"/>
      <c r="D19" s="11"/>
      <c r="E19" s="11"/>
      <c r="F19" s="11"/>
    </row>
    <row r="20" customFormat="false" ht="14.25" hidden="false" customHeight="true" outlineLevel="0" collapsed="false">
      <c r="A20" s="9" t="s">
        <v>608</v>
      </c>
      <c r="B20" s="9" t="s">
        <v>628</v>
      </c>
      <c r="C20" s="9" t="s">
        <v>629</v>
      </c>
    </row>
    <row r="21" customFormat="false" ht="14.25" hidden="false" customHeight="true" outlineLevel="0" collapsed="false">
      <c r="A21" s="5" t="s">
        <v>611</v>
      </c>
      <c r="B21" s="5" t="s">
        <v>630</v>
      </c>
      <c r="C21" s="5" t="s">
        <v>631</v>
      </c>
    </row>
    <row r="22" customFormat="false" ht="14.25" hidden="false" customHeight="true" outlineLevel="0" collapsed="false">
      <c r="A22" s="5" t="s">
        <v>617</v>
      </c>
      <c r="B22" s="5" t="s">
        <v>630</v>
      </c>
      <c r="C22" s="5" t="s">
        <v>632</v>
      </c>
    </row>
    <row r="23" customFormat="false" ht="14.25" hidden="false" customHeight="true" outlineLevel="0" collapsed="false">
      <c r="A23" s="5" t="s">
        <v>618</v>
      </c>
      <c r="B23" s="29" t="s">
        <v>630</v>
      </c>
      <c r="C23" s="50" t="s">
        <v>633</v>
      </c>
    </row>
    <row r="24" customFormat="false" ht="14.25" hidden="false" customHeight="true" outlineLevel="0" collapsed="false">
      <c r="A24" s="55" t="s">
        <v>634</v>
      </c>
    </row>
    <row r="26" customFormat="false" ht="14.25" hidden="false" customHeight="true" outlineLevel="0" collapsed="false">
      <c r="A26" s="10" t="s">
        <v>635</v>
      </c>
      <c r="B26" s="11"/>
      <c r="C26" s="11"/>
      <c r="D26" s="11"/>
      <c r="E26" s="11"/>
      <c r="F26" s="11"/>
    </row>
    <row r="27" customFormat="false" ht="14.25" hidden="false" customHeight="true" outlineLevel="0" collapsed="false">
      <c r="A27" s="9" t="s">
        <v>608</v>
      </c>
      <c r="B27" s="9" t="s">
        <v>636</v>
      </c>
      <c r="C27" s="9" t="s">
        <v>610</v>
      </c>
    </row>
    <row r="28" customFormat="false" ht="14.25" hidden="false" customHeight="true" outlineLevel="0" collapsed="false">
      <c r="A28" s="5" t="s">
        <v>611</v>
      </c>
      <c r="B28" s="5" t="s">
        <v>630</v>
      </c>
      <c r="C28" s="5" t="s">
        <v>637</v>
      </c>
    </row>
    <row r="29" customFormat="false" ht="14.25" hidden="false" customHeight="true" outlineLevel="0" collapsed="false">
      <c r="A29" s="5" t="s">
        <v>617</v>
      </c>
      <c r="B29" s="5" t="s">
        <v>630</v>
      </c>
      <c r="C29" s="5" t="s">
        <v>637</v>
      </c>
    </row>
    <row r="30" customFormat="false" ht="14.25" hidden="false" customHeight="true" outlineLevel="0" collapsed="false">
      <c r="A30" s="5" t="s">
        <v>615</v>
      </c>
      <c r="B30" s="5" t="s">
        <v>630</v>
      </c>
      <c r="C30" s="5" t="s">
        <v>637</v>
      </c>
    </row>
    <row r="31" customFormat="false" ht="14.25" hidden="false" customHeight="true" outlineLevel="0" collapsed="false">
      <c r="A31" s="55" t="s">
        <v>638</v>
      </c>
    </row>
    <row r="33" customFormat="false" ht="14.25" hidden="false" customHeight="true" outlineLevel="0" collapsed="false">
      <c r="A33" s="10" t="s">
        <v>639</v>
      </c>
      <c r="B33" s="11"/>
      <c r="C33" s="11"/>
      <c r="D33" s="11"/>
      <c r="E33" s="11"/>
      <c r="F33" s="11"/>
    </row>
    <row r="34" customFormat="false" ht="14.25" hidden="false" customHeight="true" outlineLevel="0" collapsed="false">
      <c r="A34" s="9" t="s">
        <v>640</v>
      </c>
      <c r="B34" s="9" t="s">
        <v>641</v>
      </c>
      <c r="C34" s="9" t="s">
        <v>223</v>
      </c>
    </row>
    <row r="35" customFormat="false" ht="14.25" hidden="false" customHeight="true" outlineLevel="0" collapsed="false">
      <c r="A35" s="5" t="s">
        <v>642</v>
      </c>
      <c r="B35" s="57" t="n">
        <v>0.3112</v>
      </c>
      <c r="C35" s="5" t="s">
        <v>643</v>
      </c>
    </row>
    <row r="36" customFormat="false" ht="14.25" hidden="false" customHeight="true" outlineLevel="0" collapsed="false">
      <c r="A36" s="5" t="s">
        <v>644</v>
      </c>
      <c r="B36" s="5" t="s">
        <v>630</v>
      </c>
      <c r="C36" s="5" t="s">
        <v>645</v>
      </c>
    </row>
    <row r="37" customFormat="false" ht="14.25" hidden="false" customHeight="true" outlineLevel="0" collapsed="false">
      <c r="A37" s="5" t="s">
        <v>646</v>
      </c>
      <c r="B37" s="57" t="n">
        <v>0.2527</v>
      </c>
      <c r="C37" s="5" t="s">
        <v>647</v>
      </c>
    </row>
    <row r="38" customFormat="false" ht="14.25" hidden="false" customHeight="true" outlineLevel="0" collapsed="false">
      <c r="A38" s="56" t="s">
        <v>648</v>
      </c>
    </row>
    <row r="39" customFormat="false" ht="14.25" hidden="false" customHeight="true" outlineLevel="0" collapsed="false">
      <c r="A39" s="10" t="s">
        <v>649</v>
      </c>
      <c r="B39" s="11"/>
      <c r="C39" s="11"/>
      <c r="D39" s="11"/>
      <c r="E39" s="11"/>
      <c r="F39" s="11"/>
    </row>
    <row r="40" customFormat="false" ht="14.25" hidden="false" customHeight="true" outlineLevel="0" collapsed="false">
      <c r="A40" s="9" t="s">
        <v>650</v>
      </c>
      <c r="B40" s="9" t="s">
        <v>651</v>
      </c>
      <c r="C40" s="9" t="s">
        <v>652</v>
      </c>
      <c r="D40" s="9" t="s">
        <v>653</v>
      </c>
    </row>
    <row r="41" customFormat="false" ht="14.25" hidden="false" customHeight="true" outlineLevel="0" collapsed="false">
      <c r="A41" s="5" t="s">
        <v>654</v>
      </c>
      <c r="B41" s="5" t="n">
        <v>4</v>
      </c>
      <c r="C41" s="50" t="n">
        <v>1.417</v>
      </c>
      <c r="D41" s="50" t="n">
        <v>2.54</v>
      </c>
    </row>
    <row r="42" customFormat="false" ht="14.25" hidden="false" customHeight="true" outlineLevel="0" collapsed="false">
      <c r="A42" s="5" t="s">
        <v>655</v>
      </c>
      <c r="B42" s="5" t="n">
        <v>7</v>
      </c>
      <c r="C42" s="50" t="n">
        <v>1.997</v>
      </c>
      <c r="D42" s="50" t="n">
        <v>4.181</v>
      </c>
    </row>
    <row r="43" customFormat="false" ht="14.25" hidden="false" customHeight="true" outlineLevel="0" collapsed="false">
      <c r="A43" s="5" t="s">
        <v>656</v>
      </c>
      <c r="B43" s="5" t="n">
        <v>9</v>
      </c>
      <c r="C43" s="50" t="n">
        <v>2.24</v>
      </c>
      <c r="D43" s="50" t="n">
        <v>5.792</v>
      </c>
    </row>
    <row r="44" customFormat="false" ht="14.25" hidden="false" customHeight="true" outlineLevel="0" collapsed="false">
      <c r="A44" s="5" t="s">
        <v>657</v>
      </c>
      <c r="B44" s="5" t="n">
        <v>12</v>
      </c>
      <c r="C44" s="50" t="n">
        <v>2.473</v>
      </c>
      <c r="D44" s="50" t="n">
        <v>9.488</v>
      </c>
    </row>
    <row r="45" customFormat="false" ht="14.25" hidden="false" customHeight="true" outlineLevel="0" collapsed="false">
      <c r="A45" s="5" t="s">
        <v>658</v>
      </c>
      <c r="B45" s="5" t="n">
        <v>15</v>
      </c>
      <c r="C45" s="50" t="n">
        <v>2.608</v>
      </c>
      <c r="D45" s="50" t="n">
        <v>10.029</v>
      </c>
    </row>
    <row r="46" customFormat="false" ht="14.25" hidden="false" customHeight="true" outlineLevel="0" collapsed="false">
      <c r="A46" s="55" t="s">
        <v>659</v>
      </c>
    </row>
    <row r="48" customFormat="false" ht="14.25" hidden="false" customHeight="true" outlineLevel="0" collapsed="false">
      <c r="A48" s="6" t="s">
        <v>660</v>
      </c>
    </row>
    <row r="50" customFormat="false" ht="14.25" hidden="false" customHeight="true" outlineLevel="0" collapsed="false">
      <c r="A50" s="56" t="s">
        <v>661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0"/>
  <sheetViews>
    <sheetView showFormulas="false" showGridLines="false" showRowColHeaders="true" showZeros="true" rightToLeft="false" tabSelected="false" showOutlineSymbols="true" defaultGridColor="true" view="normal" topLeftCell="A91" colorId="64" zoomScale="100" zoomScaleNormal="100" zoomScalePageLayoutView="100" workbookViewId="0">
      <selection pane="topLeft" activeCell="B109" activeCellId="0" sqref="B109"/>
    </sheetView>
  </sheetViews>
  <sheetFormatPr defaultColWidth="8.6796875" defaultRowHeight="14.25" zeroHeight="false" outlineLevelRow="0" outlineLevelCol="0"/>
  <cols>
    <col collapsed="false" customWidth="true" hidden="false" outlineLevel="0" max="1" min="1" style="1" width="40"/>
    <col collapsed="false" customWidth="true" hidden="false" outlineLevel="0" max="7" min="2" style="1" width="15"/>
  </cols>
  <sheetData>
    <row r="1" customFormat="false" ht="18" hidden="false" customHeight="true" outlineLevel="0" collapsed="false">
      <c r="A1" s="8" t="s">
        <v>662</v>
      </c>
    </row>
    <row r="2" customFormat="false" ht="14.25" hidden="false" customHeight="true" outlineLevel="0" collapsed="false">
      <c r="A2" s="10" t="s">
        <v>663</v>
      </c>
      <c r="B2" s="11"/>
      <c r="C2" s="11"/>
      <c r="D2" s="11"/>
      <c r="E2" s="11"/>
      <c r="F2" s="11"/>
      <c r="G2" s="11"/>
    </row>
    <row r="3" customFormat="false" ht="14.25" hidden="false" customHeight="true" outlineLevel="0" collapsed="false">
      <c r="A3" s="9" t="s">
        <v>664</v>
      </c>
      <c r="B3" s="9" t="s">
        <v>665</v>
      </c>
      <c r="C3" s="9" t="s">
        <v>666</v>
      </c>
      <c r="D3" s="9" t="s">
        <v>667</v>
      </c>
      <c r="E3" s="9" t="s">
        <v>668</v>
      </c>
      <c r="F3" s="9" t="s">
        <v>564</v>
      </c>
      <c r="G3" s="9" t="s">
        <v>652</v>
      </c>
    </row>
    <row r="4" customFormat="false" ht="14.25" hidden="false" customHeight="true" outlineLevel="0" collapsed="false">
      <c r="A4" s="5" t="s">
        <v>669</v>
      </c>
      <c r="B4" s="29" t="n">
        <v>36</v>
      </c>
      <c r="C4" s="29" t="n">
        <v>3</v>
      </c>
      <c r="D4" s="21" t="n">
        <f aca="false">IDC_TOTAL</f>
        <v>360537467.116265</v>
      </c>
      <c r="E4" s="21" t="n">
        <f aca="false">CAPEX</f>
        <v>6853799444.41627</v>
      </c>
      <c r="F4" s="25" t="n">
        <f aca="false">Returns!$B$12</f>
        <v>0.283064328335427</v>
      </c>
      <c r="G4" s="50" t="n">
        <f aca="false">Returns!$B$19</f>
        <v>1.41729678530381</v>
      </c>
    </row>
    <row r="5" customFormat="false" ht="14.25" hidden="false" customHeight="true" outlineLevel="0" collapsed="false">
      <c r="A5" s="5" t="s">
        <v>670</v>
      </c>
      <c r="B5" s="29" t="n">
        <v>42</v>
      </c>
      <c r="C5" s="29" t="n">
        <v>3</v>
      </c>
      <c r="D5" s="21" t="n">
        <v>425072863</v>
      </c>
      <c r="E5" s="21" t="n">
        <v>6918334840</v>
      </c>
      <c r="F5" s="25" t="n">
        <v>0.2507</v>
      </c>
      <c r="G5" s="50" t="n">
        <v>1.403</v>
      </c>
    </row>
    <row r="6" customFormat="false" ht="14.25" hidden="false" customHeight="true" outlineLevel="0" collapsed="false">
      <c r="A6" s="5" t="s">
        <v>671</v>
      </c>
      <c r="B6" s="29" t="n">
        <v>48</v>
      </c>
      <c r="C6" s="29" t="n">
        <v>3</v>
      </c>
      <c r="D6" s="21" t="n">
        <v>490598326</v>
      </c>
      <c r="E6" s="21" t="n">
        <v>6983860303</v>
      </c>
      <c r="F6" s="25" t="n">
        <v>0.257</v>
      </c>
      <c r="G6" s="50" t="n">
        <v>1.39</v>
      </c>
    </row>
    <row r="7" customFormat="false" ht="14.25" hidden="false" customHeight="true" outlineLevel="0" collapsed="false">
      <c r="A7" s="5" t="s">
        <v>672</v>
      </c>
      <c r="B7" s="29" t="n">
        <v>60</v>
      </c>
      <c r="C7" s="29" t="n">
        <v>3</v>
      </c>
      <c r="D7" s="21" t="n">
        <v>624687228</v>
      </c>
      <c r="E7" s="21" t="n">
        <v>7117949205</v>
      </c>
      <c r="F7" s="25" t="n">
        <v>0.2354</v>
      </c>
      <c r="G7" s="50" t="n">
        <v>1.363</v>
      </c>
    </row>
    <row r="8" customFormat="false" ht="14.25" hidden="false" customHeight="true" outlineLevel="0" collapsed="false">
      <c r="A8" s="55" t="s">
        <v>673</v>
      </c>
    </row>
    <row r="10" customFormat="false" ht="14.25" hidden="false" customHeight="true" outlineLevel="0" collapsed="false">
      <c r="A10" s="10" t="s">
        <v>674</v>
      </c>
      <c r="B10" s="11"/>
      <c r="C10" s="11"/>
      <c r="D10" s="11"/>
      <c r="E10" s="11"/>
      <c r="F10" s="11"/>
      <c r="G10" s="11"/>
    </row>
    <row r="11" customFormat="false" ht="14.25" hidden="false" customHeight="true" outlineLevel="0" collapsed="false">
      <c r="A11" s="9" t="s">
        <v>675</v>
      </c>
      <c r="B11" s="9" t="s">
        <v>668</v>
      </c>
      <c r="C11" s="9" t="s">
        <v>564</v>
      </c>
      <c r="D11" s="9" t="s">
        <v>566</v>
      </c>
      <c r="E11" s="9" t="s">
        <v>676</v>
      </c>
      <c r="F11" s="9" t="s">
        <v>652</v>
      </c>
    </row>
    <row r="12" customFormat="false" ht="14.25" hidden="false" customHeight="true" outlineLevel="0" collapsed="false">
      <c r="A12" s="25" t="n">
        <v>0</v>
      </c>
      <c r="B12" s="21" t="n">
        <f aca="false">CAPEX</f>
        <v>6853799444.41627</v>
      </c>
      <c r="C12" s="25" t="n">
        <f aca="false">Returns!$B$12</f>
        <v>0.283064328335427</v>
      </c>
      <c r="D12" s="25" t="n">
        <f aca="false">Returns!$B$14</f>
        <v>0.241900297026282</v>
      </c>
      <c r="E12" s="21" t="n">
        <f aca="false">Returns!$B$27</f>
        <v>9150276645.18694</v>
      </c>
      <c r="F12" s="50" t="n">
        <f aca="false">Returns!$B$19</f>
        <v>1.41729678530381</v>
      </c>
    </row>
    <row r="13" customFormat="false" ht="14.25" hidden="false" customHeight="true" outlineLevel="0" collapsed="false">
      <c r="A13" s="25" t="n">
        <v>0.05</v>
      </c>
      <c r="B13" s="21" t="n">
        <v>7104609357</v>
      </c>
      <c r="C13" s="25" t="n">
        <v>0.2757</v>
      </c>
      <c r="D13" s="25" t="n">
        <v>0.2347</v>
      </c>
      <c r="E13" s="21" t="n">
        <v>8899466733</v>
      </c>
      <c r="F13" s="50" t="n">
        <v>1.365</v>
      </c>
    </row>
    <row r="14" customFormat="false" ht="14.25" hidden="false" customHeight="true" outlineLevel="0" collapsed="false">
      <c r="A14" s="25" t="n">
        <v>0.1</v>
      </c>
      <c r="B14" s="21" t="n">
        <v>7355419269</v>
      </c>
      <c r="C14" s="25" t="n">
        <v>0.2688</v>
      </c>
      <c r="D14" s="25" t="n">
        <v>0.228</v>
      </c>
      <c r="E14" s="21" t="n">
        <v>8648656820</v>
      </c>
      <c r="F14" s="50" t="n">
        <v>1.317</v>
      </c>
    </row>
    <row r="15" customFormat="false" ht="14.25" hidden="false" customHeight="true" outlineLevel="0" collapsed="false">
      <c r="A15" s="25" t="n">
        <v>0.15</v>
      </c>
      <c r="B15" s="21" t="n">
        <v>7606229182</v>
      </c>
      <c r="C15" s="25" t="n">
        <v>0.2623</v>
      </c>
      <c r="D15" s="25" t="n">
        <v>0.2217</v>
      </c>
      <c r="E15" s="21" t="n">
        <v>8397846908</v>
      </c>
      <c r="F15" s="50" t="n">
        <v>1.273</v>
      </c>
    </row>
    <row r="16" customFormat="false" ht="14.25" hidden="false" customHeight="true" outlineLevel="0" collapsed="false">
      <c r="A16" s="25" t="n">
        <v>0.2</v>
      </c>
      <c r="B16" s="21" t="n">
        <v>7857039094</v>
      </c>
      <c r="C16" s="25" t="n">
        <v>0.2562</v>
      </c>
      <c r="D16" s="25" t="n">
        <v>0.2157</v>
      </c>
      <c r="E16" s="21" t="n">
        <v>8147036996</v>
      </c>
      <c r="F16" s="50" t="n">
        <v>1.232</v>
      </c>
    </row>
    <row r="17" customFormat="false" ht="14.25" hidden="false" customHeight="true" outlineLevel="0" collapsed="false">
      <c r="A17" s="55" t="s">
        <v>677</v>
      </c>
    </row>
    <row r="19" customFormat="false" ht="14.25" hidden="false" customHeight="true" outlineLevel="0" collapsed="false">
      <c r="A19" s="10" t="s">
        <v>678</v>
      </c>
      <c r="B19" s="11"/>
      <c r="C19" s="11"/>
      <c r="D19" s="11"/>
      <c r="E19" s="11"/>
      <c r="F19" s="11"/>
      <c r="G19" s="11"/>
    </row>
    <row r="20" customFormat="false" ht="14.25" hidden="false" customHeight="true" outlineLevel="0" collapsed="false">
      <c r="A20" s="9" t="s">
        <v>679</v>
      </c>
      <c r="B20" s="9" t="s">
        <v>668</v>
      </c>
      <c r="C20" s="9" t="s">
        <v>564</v>
      </c>
      <c r="D20" s="9" t="s">
        <v>566</v>
      </c>
      <c r="E20" s="9" t="s">
        <v>676</v>
      </c>
    </row>
    <row r="21" customFormat="false" ht="14.25" hidden="false" customHeight="true" outlineLevel="0" collapsed="false">
      <c r="A21" s="25" t="n">
        <v>0</v>
      </c>
      <c r="B21" s="21" t="n">
        <f aca="false">CAPEX</f>
        <v>6853799444.41627</v>
      </c>
      <c r="C21" s="25" t="n">
        <f aca="false">Returns!$B$12</f>
        <v>0.283064328335427</v>
      </c>
      <c r="D21" s="25" t="n">
        <f aca="false">Returns!$B$14</f>
        <v>0.241900297026282</v>
      </c>
      <c r="E21" s="21" t="n">
        <f aca="false">Returns!$B$27</f>
        <v>9150276645.18694</v>
      </c>
    </row>
    <row r="22" customFormat="false" ht="14.25" hidden="false" customHeight="true" outlineLevel="0" collapsed="false">
      <c r="A22" s="25" t="n">
        <v>0.1</v>
      </c>
      <c r="B22" s="21" t="n">
        <v>7029366383</v>
      </c>
      <c r="C22" s="25" t="n">
        <v>0.2779</v>
      </c>
      <c r="D22" s="25" t="n">
        <v>0.2368</v>
      </c>
      <c r="E22" s="21" t="n">
        <v>8974709707</v>
      </c>
    </row>
    <row r="23" customFormat="false" ht="14.25" hidden="false" customHeight="true" outlineLevel="0" collapsed="false">
      <c r="A23" s="25" t="n">
        <v>0.2</v>
      </c>
      <c r="B23" s="21" t="n">
        <v>7204933322</v>
      </c>
      <c r="C23" s="25" t="n">
        <v>0.2729</v>
      </c>
      <c r="D23" s="25" t="n">
        <v>0.232</v>
      </c>
      <c r="E23" s="21" t="n">
        <v>8799142768</v>
      </c>
    </row>
    <row r="24" customFormat="false" ht="14.25" hidden="false" customHeight="true" outlineLevel="0" collapsed="false">
      <c r="A24" s="25" t="n">
        <v>0.3</v>
      </c>
      <c r="B24" s="21" t="n">
        <v>7380500260</v>
      </c>
      <c r="C24" s="25" t="n">
        <v>0.2682</v>
      </c>
      <c r="D24" s="25" t="n">
        <v>0.2274</v>
      </c>
      <c r="E24" s="21" t="n">
        <v>8623575829</v>
      </c>
    </row>
    <row r="25" customFormat="false" ht="14.25" hidden="false" customHeight="true" outlineLevel="0" collapsed="false">
      <c r="A25" s="55" t="s">
        <v>680</v>
      </c>
    </row>
    <row r="27" customFormat="false" ht="14.25" hidden="false" customHeight="true" outlineLevel="0" collapsed="false">
      <c r="A27" s="10" t="s">
        <v>681</v>
      </c>
      <c r="B27" s="11"/>
      <c r="C27" s="11"/>
      <c r="D27" s="11"/>
      <c r="E27" s="11"/>
      <c r="F27" s="11"/>
      <c r="G27" s="11"/>
    </row>
    <row r="28" customFormat="false" ht="14.25" hidden="false" customHeight="true" outlineLevel="0" collapsed="false">
      <c r="A28" s="9" t="s">
        <v>682</v>
      </c>
      <c r="B28" s="9" t="s">
        <v>564</v>
      </c>
      <c r="C28" s="9" t="s">
        <v>566</v>
      </c>
      <c r="D28" s="9" t="s">
        <v>676</v>
      </c>
      <c r="E28" s="9" t="s">
        <v>652</v>
      </c>
    </row>
    <row r="29" customFormat="false" ht="14.25" hidden="false" customHeight="true" outlineLevel="0" collapsed="false">
      <c r="A29" s="50" t="n">
        <v>0.8</v>
      </c>
      <c r="B29" s="25" t="n">
        <v>0.2621</v>
      </c>
      <c r="C29" s="25" t="n">
        <v>0.2208</v>
      </c>
      <c r="D29" s="21" t="n">
        <v>7146805338</v>
      </c>
      <c r="E29" s="50" t="n">
        <v>1.264</v>
      </c>
    </row>
    <row r="30" customFormat="false" ht="14.25" hidden="false" customHeight="true" outlineLevel="0" collapsed="false">
      <c r="A30" s="50" t="n">
        <v>0.9</v>
      </c>
      <c r="B30" s="25" t="n">
        <v>0.2729</v>
      </c>
      <c r="C30" s="25" t="n">
        <v>0.2316</v>
      </c>
      <c r="D30" s="21" t="n">
        <v>8148540992</v>
      </c>
      <c r="E30" s="50" t="n">
        <v>1.341</v>
      </c>
    </row>
    <row r="31" customFormat="false" ht="14.25" hidden="false" customHeight="true" outlineLevel="0" collapsed="false">
      <c r="A31" s="4" t="s">
        <v>683</v>
      </c>
      <c r="B31" s="25" t="n">
        <f aca="false">Returns!$B$12</f>
        <v>0.283064328335427</v>
      </c>
      <c r="C31" s="25" t="n">
        <f aca="false">Returns!$B$14</f>
        <v>0.241900297026282</v>
      </c>
      <c r="D31" s="21" t="n">
        <f aca="false">Returns!$B$27</f>
        <v>9150276645.18694</v>
      </c>
      <c r="E31" s="50" t="n">
        <f aca="false">Returns!$B$19</f>
        <v>1.41729678530381</v>
      </c>
    </row>
    <row r="32" customFormat="false" ht="14.25" hidden="false" customHeight="true" outlineLevel="0" collapsed="false">
      <c r="A32" s="50" t="n">
        <v>1.05</v>
      </c>
      <c r="B32" s="25" t="n">
        <v>0.288</v>
      </c>
      <c r="C32" s="25" t="n">
        <v>0.2468</v>
      </c>
      <c r="D32" s="21" t="n">
        <v>9651144472</v>
      </c>
      <c r="E32" s="50" t="n">
        <v>1.456</v>
      </c>
    </row>
    <row r="34" customFormat="false" ht="14.25" hidden="false" customHeight="true" outlineLevel="0" collapsed="false">
      <c r="A34" s="10" t="s">
        <v>684</v>
      </c>
      <c r="B34" s="11"/>
      <c r="C34" s="11"/>
      <c r="D34" s="11"/>
      <c r="E34" s="11"/>
      <c r="F34" s="11"/>
      <c r="G34" s="11"/>
    </row>
    <row r="35" customFormat="false" ht="14.25" hidden="false" customHeight="true" outlineLevel="0" collapsed="false">
      <c r="A35" s="9" t="s">
        <v>289</v>
      </c>
      <c r="B35" s="9" t="s">
        <v>564</v>
      </c>
      <c r="C35" s="9" t="s">
        <v>676</v>
      </c>
    </row>
    <row r="36" customFormat="false" ht="14.25" hidden="false" customHeight="true" outlineLevel="0" collapsed="false">
      <c r="A36" s="25" t="n">
        <v>0.15</v>
      </c>
      <c r="B36" s="25" t="n">
        <v>0.2816</v>
      </c>
      <c r="C36" s="21" t="n">
        <v>8930964014</v>
      </c>
    </row>
    <row r="37" customFormat="false" ht="14.25" hidden="false" customHeight="true" outlineLevel="0" collapsed="false">
      <c r="A37" s="25" t="n">
        <v>0.2</v>
      </c>
      <c r="B37" s="25" t="n">
        <v>0.2823</v>
      </c>
      <c r="C37" s="21" t="n">
        <v>9040620330</v>
      </c>
    </row>
    <row r="38" customFormat="false" ht="14.25" hidden="false" customHeight="true" outlineLevel="0" collapsed="false">
      <c r="A38" s="4" t="s">
        <v>685</v>
      </c>
      <c r="B38" s="25" t="n">
        <f aca="false">Returns!$B$12</f>
        <v>0.283064328335427</v>
      </c>
      <c r="C38" s="21" t="n">
        <f aca="false">Returns!$B$27</f>
        <v>9150276645.18694</v>
      </c>
    </row>
    <row r="39" customFormat="false" ht="14.25" hidden="false" customHeight="true" outlineLevel="0" collapsed="false">
      <c r="A39" s="25" t="n">
        <v>0.3</v>
      </c>
      <c r="B39" s="25" t="n">
        <v>0.2838</v>
      </c>
      <c r="C39" s="21" t="n">
        <v>9259932961</v>
      </c>
    </row>
    <row r="40" customFormat="false" ht="14.25" hidden="false" customHeight="true" outlineLevel="0" collapsed="false">
      <c r="A40" s="25" t="n">
        <v>0.35</v>
      </c>
      <c r="B40" s="25" t="n">
        <v>0.2845</v>
      </c>
      <c r="C40" s="21" t="n">
        <v>9369589276</v>
      </c>
    </row>
    <row r="42" customFormat="false" ht="14.25" hidden="false" customHeight="true" outlineLevel="0" collapsed="false">
      <c r="A42" s="10" t="s">
        <v>686</v>
      </c>
      <c r="B42" s="11"/>
      <c r="C42" s="11"/>
      <c r="D42" s="11"/>
      <c r="E42" s="11"/>
      <c r="F42" s="11"/>
      <c r="G42" s="11"/>
    </row>
    <row r="43" customFormat="false" ht="14.25" hidden="false" customHeight="true" outlineLevel="0" collapsed="false">
      <c r="A43" s="9" t="s">
        <v>255</v>
      </c>
      <c r="B43" s="9" t="s">
        <v>564</v>
      </c>
      <c r="C43" s="9" t="s">
        <v>676</v>
      </c>
    </row>
    <row r="44" customFormat="false" ht="14.25" hidden="false" customHeight="true" outlineLevel="0" collapsed="false">
      <c r="A44" s="29" t="n">
        <v>1500</v>
      </c>
      <c r="B44" s="25" t="n">
        <v>0.2668</v>
      </c>
      <c r="C44" s="21" t="n">
        <v>7575488828</v>
      </c>
    </row>
    <row r="45" customFormat="false" ht="14.25" hidden="false" customHeight="true" outlineLevel="0" collapsed="false">
      <c r="A45" s="29" t="n">
        <v>2500</v>
      </c>
      <c r="B45" s="25" t="n">
        <v>0.2751</v>
      </c>
      <c r="C45" s="21" t="n">
        <v>8362882737</v>
      </c>
    </row>
    <row r="46" customFormat="false" ht="14.25" hidden="false" customHeight="true" outlineLevel="0" collapsed="false">
      <c r="A46" s="4" t="s">
        <v>687</v>
      </c>
      <c r="B46" s="25" t="n">
        <f aca="false">Returns!$B$12</f>
        <v>0.283064328335427</v>
      </c>
      <c r="C46" s="21" t="n">
        <f aca="false">Returns!$B$27</f>
        <v>9150276645.18694</v>
      </c>
    </row>
    <row r="47" customFormat="false" ht="14.25" hidden="false" customHeight="true" outlineLevel="0" collapsed="false">
      <c r="A47" s="29" t="n">
        <v>4500</v>
      </c>
      <c r="B47" s="25" t="n">
        <v>0.2907</v>
      </c>
      <c r="C47" s="21" t="n">
        <v>9937670554</v>
      </c>
    </row>
    <row r="48" customFormat="false" ht="14.25" hidden="false" customHeight="true" outlineLevel="0" collapsed="false">
      <c r="A48" s="29" t="n">
        <v>5500</v>
      </c>
      <c r="B48" s="25" t="n">
        <v>0.298</v>
      </c>
      <c r="C48" s="21" t="n">
        <v>10725064462</v>
      </c>
    </row>
    <row r="49" customFormat="false" ht="14.25" hidden="false" customHeight="true" outlineLevel="0" collapsed="false">
      <c r="A49" s="55" t="s">
        <v>688</v>
      </c>
    </row>
    <row r="51" customFormat="false" ht="14.25" hidden="false" customHeight="true" outlineLevel="0" collapsed="false">
      <c r="A51" s="10" t="s">
        <v>689</v>
      </c>
      <c r="B51" s="11"/>
      <c r="C51" s="11"/>
      <c r="D51" s="11"/>
      <c r="E51" s="11"/>
      <c r="F51" s="11"/>
      <c r="G51" s="11"/>
    </row>
    <row r="52" customFormat="false" ht="14.25" hidden="false" customHeight="true" outlineLevel="0" collapsed="false">
      <c r="A52" s="9" t="s">
        <v>690</v>
      </c>
      <c r="B52" s="9" t="s">
        <v>564</v>
      </c>
      <c r="C52" s="9" t="s">
        <v>676</v>
      </c>
    </row>
    <row r="53" customFormat="false" ht="14.25" hidden="false" customHeight="true" outlineLevel="0" collapsed="false">
      <c r="A53" s="25" t="n">
        <v>0.15</v>
      </c>
      <c r="B53" s="25" t="n">
        <v>0.225</v>
      </c>
      <c r="C53" s="21" t="n">
        <v>5765176013</v>
      </c>
    </row>
    <row r="54" customFormat="false" ht="14.25" hidden="false" customHeight="true" outlineLevel="0" collapsed="false">
      <c r="A54" s="25" t="n">
        <v>0.2</v>
      </c>
      <c r="B54" s="25" t="n">
        <v>0.2536</v>
      </c>
      <c r="C54" s="21" t="n">
        <v>7384697246</v>
      </c>
    </row>
    <row r="55" customFormat="false" ht="14.25" hidden="false" customHeight="true" outlineLevel="0" collapsed="false">
      <c r="A55" s="4" t="s">
        <v>685</v>
      </c>
      <c r="B55" s="25" t="n">
        <f aca="false">Returns!$B$12</f>
        <v>0.283064328335427</v>
      </c>
      <c r="C55" s="21" t="n">
        <f aca="false">Returns!$B$27</f>
        <v>9150276645.18694</v>
      </c>
    </row>
    <row r="56" customFormat="false" ht="14.25" hidden="false" customHeight="true" outlineLevel="0" collapsed="false">
      <c r="A56" s="25" t="n">
        <v>0.3</v>
      </c>
      <c r="B56" s="25" t="n">
        <v>0.3132</v>
      </c>
      <c r="C56" s="21" t="n">
        <v>11067999967</v>
      </c>
    </row>
    <row r="57" customFormat="false" ht="14.25" hidden="false" customHeight="true" outlineLevel="0" collapsed="false">
      <c r="A57" s="25" t="n">
        <v>0.35</v>
      </c>
      <c r="B57" s="25" t="n">
        <v>0.3439</v>
      </c>
      <c r="C57" s="21" t="n">
        <v>13143952969</v>
      </c>
    </row>
    <row r="58" customFormat="false" ht="14.25" hidden="false" customHeight="true" outlineLevel="0" collapsed="false">
      <c r="A58" s="55" t="s">
        <v>691</v>
      </c>
    </row>
    <row r="60" customFormat="false" ht="14.25" hidden="false" customHeight="true" outlineLevel="0" collapsed="false">
      <c r="A60" s="10" t="s">
        <v>692</v>
      </c>
      <c r="B60" s="11"/>
      <c r="C60" s="11"/>
      <c r="D60" s="11"/>
      <c r="E60" s="11"/>
      <c r="F60" s="11"/>
      <c r="G60" s="11"/>
    </row>
    <row r="61" customFormat="false" ht="14.25" hidden="false" customHeight="true" outlineLevel="0" collapsed="false">
      <c r="A61" s="9" t="s">
        <v>289</v>
      </c>
      <c r="B61" s="9" t="s">
        <v>564</v>
      </c>
      <c r="C61" s="9" t="s">
        <v>566</v>
      </c>
      <c r="D61" s="9" t="s">
        <v>652</v>
      </c>
    </row>
    <row r="62" customFormat="false" ht="14.25" hidden="false" customHeight="true" outlineLevel="0" collapsed="false">
      <c r="A62" s="25" t="n">
        <v>0.14</v>
      </c>
      <c r="B62" s="25" t="n">
        <v>0.2856</v>
      </c>
      <c r="C62" s="25" t="n">
        <v>0.2474</v>
      </c>
      <c r="D62" s="50" t="n">
        <v>1.578</v>
      </c>
    </row>
    <row r="63" customFormat="false" ht="14.25" hidden="false" customHeight="true" outlineLevel="0" collapsed="false">
      <c r="A63" s="25" t="n">
        <v>0.18</v>
      </c>
      <c r="B63" s="25" t="n">
        <v>0.2839</v>
      </c>
      <c r="C63" s="25" t="n">
        <v>0.2437</v>
      </c>
      <c r="D63" s="50" t="n">
        <v>1.467</v>
      </c>
    </row>
    <row r="64" customFormat="false" ht="14.25" hidden="false" customHeight="true" outlineLevel="0" collapsed="false">
      <c r="A64" s="4" t="s">
        <v>693</v>
      </c>
      <c r="B64" s="25" t="n">
        <f aca="false">Returns!$B$12</f>
        <v>0.283064328335427</v>
      </c>
      <c r="C64" s="25" t="n">
        <f aca="false">Returns!$B$14</f>
        <v>0.241900297026282</v>
      </c>
      <c r="D64" s="50" t="n">
        <f aca="false">Returns!$B$19</f>
        <v>1.41729678530381</v>
      </c>
    </row>
    <row r="65" customFormat="false" ht="14.25" hidden="false" customHeight="true" outlineLevel="0" collapsed="false">
      <c r="A65" s="25" t="n">
        <v>0.24</v>
      </c>
      <c r="B65" s="25" t="n">
        <v>0.2814</v>
      </c>
      <c r="C65" s="25" t="n">
        <v>0.2382</v>
      </c>
      <c r="D65" s="50" t="n">
        <v>1.326</v>
      </c>
    </row>
    <row r="66" customFormat="false" ht="14.25" hidden="false" customHeight="true" outlineLevel="0" collapsed="false">
      <c r="A66" s="55" t="s">
        <v>694</v>
      </c>
    </row>
    <row r="68" customFormat="false" ht="14.25" hidden="false" customHeight="true" outlineLevel="0" collapsed="false">
      <c r="A68" s="10" t="s">
        <v>695</v>
      </c>
      <c r="B68" s="11"/>
      <c r="C68" s="11"/>
      <c r="D68" s="11"/>
      <c r="E68" s="11"/>
      <c r="F68" s="11"/>
      <c r="G68" s="11"/>
    </row>
    <row r="69" customFormat="false" ht="14.25" hidden="false" customHeight="true" outlineLevel="0" collapsed="false">
      <c r="A69" s="9" t="s">
        <v>696</v>
      </c>
      <c r="B69" s="9" t="s">
        <v>564</v>
      </c>
      <c r="C69" s="9" t="s">
        <v>697</v>
      </c>
      <c r="D69" s="9" t="s">
        <v>676</v>
      </c>
    </row>
    <row r="70" customFormat="false" ht="14.25" hidden="false" customHeight="true" outlineLevel="0" collapsed="false">
      <c r="A70" s="25" t="n">
        <v>0.08</v>
      </c>
      <c r="B70" s="25" t="n">
        <v>0.2837</v>
      </c>
      <c r="C70" s="21" t="n">
        <v>19860624543</v>
      </c>
      <c r="D70" s="21" t="n">
        <v>13006825099</v>
      </c>
    </row>
    <row r="71" customFormat="false" ht="14.25" hidden="false" customHeight="true" outlineLevel="0" collapsed="false">
      <c r="A71" s="25" t="n">
        <v>0.095</v>
      </c>
      <c r="B71" s="25" t="n">
        <v>0.2833</v>
      </c>
      <c r="C71" s="21" t="n">
        <v>17336004672</v>
      </c>
      <c r="D71" s="21" t="n">
        <v>10482205227</v>
      </c>
    </row>
    <row r="72" customFormat="false" ht="14.25" hidden="false" customHeight="true" outlineLevel="0" collapsed="false">
      <c r="A72" s="4" t="s">
        <v>698</v>
      </c>
      <c r="B72" s="25" t="n">
        <f aca="false">Returns!$B$12</f>
        <v>0.283064328335427</v>
      </c>
      <c r="C72" s="21" t="n">
        <f aca="false">Returns!$B$25</f>
        <v>16004076089.6032</v>
      </c>
      <c r="D72" s="21" t="n">
        <f aca="false">Returns!$B$27</f>
        <v>9150276645.18694</v>
      </c>
    </row>
    <row r="73" customFormat="false" ht="14.25" hidden="false" customHeight="true" outlineLevel="0" collapsed="false">
      <c r="A73" s="25" t="n">
        <v>0.12</v>
      </c>
      <c r="B73" s="25" t="n">
        <v>0.2827</v>
      </c>
      <c r="C73" s="21" t="n">
        <v>14379026665</v>
      </c>
      <c r="D73" s="21" t="n">
        <v>7525227221</v>
      </c>
    </row>
    <row r="74" customFormat="false" ht="14.25" hidden="false" customHeight="true" outlineLevel="0" collapsed="false">
      <c r="A74" s="56" t="s">
        <v>699</v>
      </c>
    </row>
    <row r="75" customFormat="false" ht="14.25" hidden="false" customHeight="true" outlineLevel="0" collapsed="false">
      <c r="A75" s="10" t="s">
        <v>700</v>
      </c>
      <c r="B75" s="11"/>
      <c r="C75" s="11"/>
      <c r="D75" s="11"/>
      <c r="E75" s="11"/>
      <c r="F75" s="11"/>
      <c r="G75" s="11"/>
    </row>
    <row r="76" customFormat="false" ht="14.25" hidden="false" customHeight="true" outlineLevel="0" collapsed="false">
      <c r="A76" s="9" t="s">
        <v>290</v>
      </c>
      <c r="B76" s="9" t="s">
        <v>701</v>
      </c>
      <c r="C76" s="9" t="s">
        <v>702</v>
      </c>
      <c r="D76" s="9" t="s">
        <v>676</v>
      </c>
      <c r="E76" s="9" t="s">
        <v>652</v>
      </c>
    </row>
    <row r="77" customFormat="false" ht="14.25" hidden="false" customHeight="true" outlineLevel="0" collapsed="false">
      <c r="A77" s="5" t="s">
        <v>703</v>
      </c>
      <c r="B77" s="25" t="n">
        <v>0.3439</v>
      </c>
      <c r="C77" s="58" t="n">
        <v>6.08</v>
      </c>
      <c r="D77" s="21" t="n">
        <v>13143952969</v>
      </c>
      <c r="E77" s="50" t="n">
        <v>1.524</v>
      </c>
    </row>
    <row r="78" customFormat="false" ht="14.25" hidden="false" customHeight="true" outlineLevel="0" collapsed="false">
      <c r="A78" s="5" t="s">
        <v>704</v>
      </c>
      <c r="B78" s="25" t="n">
        <v>0.225</v>
      </c>
      <c r="C78" s="58" t="n">
        <v>-5.81</v>
      </c>
      <c r="D78" s="21" t="n">
        <v>5765176013</v>
      </c>
      <c r="E78" s="50" t="n">
        <v>1.311</v>
      </c>
    </row>
    <row r="79" customFormat="false" ht="14.25" hidden="false" customHeight="true" outlineLevel="0" collapsed="false">
      <c r="A79" s="5" t="s">
        <v>705</v>
      </c>
      <c r="B79" s="25" t="n">
        <v>0.2354</v>
      </c>
      <c r="C79" s="58" t="n">
        <v>-4.76</v>
      </c>
      <c r="D79" s="21" t="n">
        <v>8886126884</v>
      </c>
      <c r="E79" s="50" t="n">
        <v>1.363</v>
      </c>
    </row>
    <row r="80" customFormat="false" ht="14.25" hidden="false" customHeight="true" outlineLevel="0" collapsed="false">
      <c r="A80" s="5" t="s">
        <v>706</v>
      </c>
      <c r="B80" s="25" t="n">
        <v>0.2507</v>
      </c>
      <c r="C80" s="58" t="n">
        <v>-3.24</v>
      </c>
      <c r="D80" s="21" t="n">
        <v>9085741249</v>
      </c>
      <c r="E80" s="50" t="n">
        <v>1.403</v>
      </c>
    </row>
    <row r="81" customFormat="false" ht="14.25" hidden="false" customHeight="true" outlineLevel="0" collapsed="false">
      <c r="A81" s="5" t="s">
        <v>707</v>
      </c>
      <c r="B81" s="25" t="n">
        <v>0.2562</v>
      </c>
      <c r="C81" s="58" t="n">
        <v>-2.69</v>
      </c>
      <c r="D81" s="21" t="n">
        <v>8147036996</v>
      </c>
      <c r="E81" s="50" t="n">
        <v>1.232</v>
      </c>
    </row>
    <row r="82" customFormat="false" ht="14.25" hidden="false" customHeight="true" outlineLevel="0" collapsed="false">
      <c r="A82" s="5" t="s">
        <v>708</v>
      </c>
      <c r="B82" s="25" t="n">
        <v>0.257</v>
      </c>
      <c r="C82" s="58" t="n">
        <v>-2.61</v>
      </c>
      <c r="D82" s="21" t="n">
        <v>9020215786</v>
      </c>
      <c r="E82" s="50" t="n">
        <v>1.39</v>
      </c>
    </row>
    <row r="83" customFormat="false" ht="14.25" hidden="false" customHeight="true" outlineLevel="0" collapsed="false">
      <c r="A83" s="5" t="s">
        <v>709</v>
      </c>
      <c r="B83" s="25" t="n">
        <v>0.2621</v>
      </c>
      <c r="C83" s="58" t="n">
        <v>-2.09</v>
      </c>
      <c r="D83" s="21" t="n">
        <v>7146805338</v>
      </c>
      <c r="E83" s="50" t="n">
        <v>1.264</v>
      </c>
    </row>
    <row r="84" customFormat="false" ht="14.25" hidden="false" customHeight="true" outlineLevel="0" collapsed="false">
      <c r="A84" s="5" t="s">
        <v>710</v>
      </c>
      <c r="B84" s="25" t="n">
        <v>0.2668</v>
      </c>
      <c r="C84" s="58" t="n">
        <v>-1.63</v>
      </c>
      <c r="D84" s="21" t="n">
        <v>7575488828</v>
      </c>
      <c r="E84" s="50" t="n">
        <v>1.297</v>
      </c>
    </row>
    <row r="85" customFormat="false" ht="14.25" hidden="false" customHeight="true" outlineLevel="0" collapsed="false">
      <c r="A85" s="5" t="s">
        <v>711</v>
      </c>
      <c r="B85" s="25" t="n">
        <v>0.298</v>
      </c>
      <c r="C85" s="58" t="n">
        <v>1.5</v>
      </c>
      <c r="D85" s="21" t="n">
        <v>10725064462</v>
      </c>
      <c r="E85" s="50" t="n">
        <v>1.538</v>
      </c>
    </row>
    <row r="86" customFormat="false" ht="14.25" hidden="false" customHeight="true" outlineLevel="0" collapsed="false">
      <c r="A86" s="5" t="s">
        <v>712</v>
      </c>
      <c r="B86" s="25" t="n">
        <v>0.2682</v>
      </c>
      <c r="C86" s="58" t="n">
        <v>-1.49</v>
      </c>
      <c r="D86" s="21" t="n">
        <v>8623575829</v>
      </c>
      <c r="E86" s="50" t="n">
        <v>1.312</v>
      </c>
    </row>
    <row r="87" customFormat="false" ht="14.25" hidden="false" customHeight="true" outlineLevel="0" collapsed="false">
      <c r="A87" s="5" t="s">
        <v>713</v>
      </c>
      <c r="B87" s="25" t="n">
        <v>0.2688</v>
      </c>
      <c r="C87" s="58" t="n">
        <v>-1.42</v>
      </c>
      <c r="D87" s="21" t="n">
        <v>8648656820</v>
      </c>
      <c r="E87" s="50" t="n">
        <v>1.317</v>
      </c>
    </row>
    <row r="88" customFormat="false" ht="14.25" hidden="false" customHeight="true" outlineLevel="0" collapsed="false">
      <c r="A88" s="5" t="s">
        <v>714</v>
      </c>
      <c r="B88" s="25" t="n">
        <v>0.2729</v>
      </c>
      <c r="C88" s="58" t="n">
        <v>-1.02</v>
      </c>
      <c r="D88" s="21" t="n">
        <v>8148540992</v>
      </c>
      <c r="E88" s="50" t="n">
        <v>1.341</v>
      </c>
    </row>
    <row r="89" customFormat="false" ht="14.25" hidden="false" customHeight="true" outlineLevel="0" collapsed="false">
      <c r="A89" s="5" t="s">
        <v>715</v>
      </c>
      <c r="B89" s="25" t="n">
        <v>0.2856</v>
      </c>
      <c r="C89" s="58" t="n">
        <v>0.26</v>
      </c>
      <c r="D89" s="21" t="n">
        <v>9261648993</v>
      </c>
      <c r="E89" s="50" t="n">
        <v>1.578</v>
      </c>
    </row>
    <row r="90" customFormat="false" ht="14.25" hidden="false" customHeight="true" outlineLevel="0" collapsed="false">
      <c r="A90" s="5" t="s">
        <v>716</v>
      </c>
      <c r="B90" s="25" t="n">
        <v>0.2814</v>
      </c>
      <c r="C90" s="58" t="n">
        <v>-0.17</v>
      </c>
      <c r="D90" s="21" t="n">
        <v>9074442633</v>
      </c>
      <c r="E90" s="50" t="n">
        <v>1.326</v>
      </c>
    </row>
    <row r="91" customFormat="false" ht="14.25" hidden="false" customHeight="true" outlineLevel="0" collapsed="false">
      <c r="A91" s="5" t="s">
        <v>717</v>
      </c>
      <c r="B91" s="25" t="n">
        <v>0.2816</v>
      </c>
      <c r="C91" s="58" t="n">
        <v>-0.15</v>
      </c>
      <c r="D91" s="21" t="n">
        <v>8930964014</v>
      </c>
      <c r="E91" s="50" t="n">
        <v>1.397</v>
      </c>
    </row>
    <row r="92" customFormat="false" ht="14.25" hidden="false" customHeight="true" outlineLevel="0" collapsed="false">
      <c r="A92" s="5" t="s">
        <v>718</v>
      </c>
      <c r="B92" s="25" t="n">
        <v>0.2845</v>
      </c>
      <c r="C92" s="58" t="n">
        <v>0.15</v>
      </c>
      <c r="D92" s="21" t="n">
        <v>9369589276</v>
      </c>
      <c r="E92" s="50" t="n">
        <v>1.438</v>
      </c>
    </row>
    <row r="93" customFormat="false" ht="14.25" hidden="false" customHeight="true" outlineLevel="0" collapsed="false">
      <c r="A93" s="5" t="s">
        <v>719</v>
      </c>
      <c r="B93" s="25" t="n">
        <v>0.2837</v>
      </c>
      <c r="C93" s="58" t="n">
        <v>0.07</v>
      </c>
      <c r="D93" s="21" t="n">
        <v>13006825099</v>
      </c>
      <c r="E93" s="50" t="n">
        <v>1.379</v>
      </c>
    </row>
    <row r="94" customFormat="false" ht="14.25" hidden="false" customHeight="true" outlineLevel="0" collapsed="false">
      <c r="A94" s="5" t="s">
        <v>720</v>
      </c>
      <c r="B94" s="25" t="n">
        <v>0.2824</v>
      </c>
      <c r="C94" s="58" t="n">
        <v>-0.06</v>
      </c>
      <c r="D94" s="21" t="n">
        <v>8858866578</v>
      </c>
      <c r="E94" s="50" t="n">
        <v>1.345</v>
      </c>
    </row>
    <row r="95" customFormat="false" ht="14.25" hidden="false" customHeight="true" outlineLevel="0" collapsed="false">
      <c r="A95" s="5" t="s">
        <v>721</v>
      </c>
      <c r="B95" s="25" t="n">
        <v>0.2827</v>
      </c>
      <c r="C95" s="58" t="n">
        <v>-0.04</v>
      </c>
      <c r="D95" s="21" t="n">
        <v>7525227221</v>
      </c>
      <c r="E95" s="50" t="n">
        <v>1.433</v>
      </c>
    </row>
    <row r="96" customFormat="false" ht="14.25" hidden="false" customHeight="true" outlineLevel="0" collapsed="false">
      <c r="A96" s="4" t="s">
        <v>722</v>
      </c>
      <c r="B96" s="25" t="n">
        <f aca="false">Returns!$B$12</f>
        <v>0.283064328335427</v>
      </c>
      <c r="C96" s="58" t="n">
        <v>0</v>
      </c>
      <c r="D96" s="21" t="n">
        <f aca="false">Returns!$B$27</f>
        <v>9150276645.18694</v>
      </c>
      <c r="E96" s="50" t="n">
        <f aca="false">Returns!$B$19</f>
        <v>1.41729678530381</v>
      </c>
    </row>
    <row r="97" customFormat="false" ht="14.25" hidden="false" customHeight="true" outlineLevel="0" collapsed="false">
      <c r="A97" s="55" t="s">
        <v>723</v>
      </c>
    </row>
    <row r="99" customFormat="false" ht="14.25" hidden="false" customHeight="true" outlineLevel="0" collapsed="false">
      <c r="A99" s="10" t="s">
        <v>724</v>
      </c>
      <c r="B99" s="11"/>
      <c r="C99" s="11"/>
      <c r="D99" s="11"/>
      <c r="E99" s="11"/>
      <c r="F99" s="11"/>
      <c r="G99" s="11"/>
    </row>
    <row r="100" customFormat="false" ht="14.25" hidden="false" customHeight="true" outlineLevel="0" collapsed="false">
      <c r="A100" s="9" t="s">
        <v>725</v>
      </c>
      <c r="B100" s="9" t="s">
        <v>668</v>
      </c>
      <c r="C100" s="9" t="s">
        <v>564</v>
      </c>
      <c r="D100" s="9" t="s">
        <v>566</v>
      </c>
      <c r="E100" s="9" t="s">
        <v>676</v>
      </c>
      <c r="F100" s="9" t="s">
        <v>652</v>
      </c>
    </row>
    <row r="101" customFormat="false" ht="14.25" hidden="false" customHeight="true" outlineLevel="0" collapsed="false">
      <c r="A101" s="4" t="s">
        <v>722</v>
      </c>
      <c r="B101" s="21" t="n">
        <f aca="false">CAPEX</f>
        <v>6853799444.41627</v>
      </c>
      <c r="C101" s="25" t="n">
        <f aca="false">Returns!$B$12</f>
        <v>0.283064328335427</v>
      </c>
      <c r="D101" s="25" t="n">
        <f aca="false">Returns!$B$14</f>
        <v>0.241900297026282</v>
      </c>
      <c r="E101" s="21" t="n">
        <f aca="false">Returns!$B$27</f>
        <v>9150276645.18694</v>
      </c>
      <c r="F101" s="50" t="n">
        <f aca="false">Returns!$B$19</f>
        <v>1.41729678530381</v>
      </c>
    </row>
    <row r="102" customFormat="false" ht="14.25" hidden="false" customHeight="true" outlineLevel="0" collapsed="false">
      <c r="A102" s="5" t="s">
        <v>726</v>
      </c>
      <c r="B102" s="21" t="n">
        <v>6779237907</v>
      </c>
      <c r="C102" s="25" t="n">
        <v>0.2904</v>
      </c>
      <c r="D102" s="25" t="n">
        <v>0.2512</v>
      </c>
      <c r="E102" s="21" t="n">
        <v>9835362325</v>
      </c>
      <c r="F102" s="50" t="n">
        <v>1.574</v>
      </c>
    </row>
    <row r="103" customFormat="false" ht="14.25" hidden="false" customHeight="true" outlineLevel="0" collapsed="false">
      <c r="A103" s="5" t="s">
        <v>727</v>
      </c>
      <c r="B103" s="21" t="n">
        <v>7613901952</v>
      </c>
      <c r="C103" s="25" t="n">
        <v>0.2335</v>
      </c>
      <c r="D103" s="25" t="n">
        <v>0.1965</v>
      </c>
      <c r="E103" s="21" t="n">
        <v>7388438484</v>
      </c>
      <c r="F103" s="50" t="n">
        <v>1.144</v>
      </c>
    </row>
    <row r="104" customFormat="false" ht="14.25" hidden="false" customHeight="true" outlineLevel="0" collapsed="false">
      <c r="A104" s="5" t="s">
        <v>728</v>
      </c>
      <c r="B104" s="21" t="n">
        <v>8334793367</v>
      </c>
      <c r="C104" s="25" t="n">
        <v>0.1992</v>
      </c>
      <c r="D104" s="25" t="n">
        <v>0.1681</v>
      </c>
      <c r="E104" s="21" t="n">
        <v>6166679242</v>
      </c>
      <c r="F104" s="50" t="n">
        <v>1.085</v>
      </c>
    </row>
    <row r="105" customFormat="false" ht="14.25" hidden="false" customHeight="true" outlineLevel="0" collapsed="false">
      <c r="A105" s="55" t="s">
        <v>729</v>
      </c>
    </row>
    <row r="108" customFormat="false" ht="14.25" hidden="false" customHeight="true" outlineLevel="0" collapsed="false">
      <c r="A108" s="59" t="s">
        <v>730</v>
      </c>
    </row>
    <row r="110" customFormat="false" ht="14.25" hidden="false" customHeight="true" outlineLevel="0" collapsed="false">
      <c r="A110" s="56" t="s">
        <v>731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24" activePane="bottomRight" state="frozen"/>
      <selection pane="topLeft" activeCell="A1" activeCellId="0" sqref="A1"/>
      <selection pane="topRight" activeCell="E1" activeCellId="0" sqref="E1"/>
      <selection pane="bottomLeft" activeCell="A24" activeCellId="0" sqref="A24"/>
      <selection pane="bottomRight" activeCell="C34" activeCellId="0" sqref="C34"/>
    </sheetView>
  </sheetViews>
  <sheetFormatPr defaultColWidth="8.6796875" defaultRowHeight="14.25" zeroHeight="false" outlineLevelRow="0" outlineLevelCol="0"/>
  <cols>
    <col collapsed="false" customWidth="true" hidden="false" outlineLevel="0" max="1" min="1" style="1" width="46"/>
    <col collapsed="false" customWidth="true" hidden="false" outlineLevel="0" max="2" min="2" style="1" width="22"/>
    <col collapsed="false" customWidth="true" hidden="false" outlineLevel="0" max="3" min="3" style="1" width="58"/>
  </cols>
  <sheetData>
    <row r="1" customFormat="false" ht="18" hidden="false" customHeight="true" outlineLevel="0" collapsed="false">
      <c r="A1" s="8" t="s">
        <v>732</v>
      </c>
    </row>
    <row r="2" customFormat="false" ht="14.25" hidden="false" customHeight="true" outlineLevel="0" collapsed="false">
      <c r="A2" s="35" t="s">
        <v>733</v>
      </c>
    </row>
    <row r="3" customFormat="false" ht="14.25" hidden="false" customHeight="true" outlineLevel="0" collapsed="false">
      <c r="A3" s="60" t="s">
        <v>734</v>
      </c>
    </row>
    <row r="5" customFormat="false" ht="14.25" hidden="false" customHeight="true" outlineLevel="0" collapsed="false">
      <c r="A5" s="10" t="s">
        <v>735</v>
      </c>
      <c r="B5" s="11"/>
      <c r="C5" s="11"/>
      <c r="D5" s="11"/>
      <c r="E5" s="11"/>
      <c r="F5" s="11"/>
      <c r="G5" s="11"/>
      <c r="H5" s="11"/>
      <c r="I5" s="11"/>
      <c r="J5" s="11"/>
      <c r="K5" s="11"/>
      <c r="L5" s="11"/>
      <c r="M5" s="11"/>
      <c r="N5" s="11"/>
      <c r="O5" s="11"/>
      <c r="P5" s="11"/>
    </row>
    <row r="6" customFormat="false" ht="14.25" hidden="false" customHeight="true" outlineLevel="0" collapsed="false">
      <c r="A6" s="5" t="s">
        <v>736</v>
      </c>
      <c r="B6" s="24" t="n">
        <f aca="false">CAPEX</f>
        <v>6853799444.41627</v>
      </c>
      <c r="C6" s="26"/>
    </row>
    <row r="7" customFormat="false" ht="14.25" hidden="false" customHeight="true" outlineLevel="0" collapsed="false">
      <c r="A7" s="5" t="s">
        <v>737</v>
      </c>
      <c r="B7" s="24" t="n">
        <f aca="false">LAND_V</f>
        <v>1650000000</v>
      </c>
      <c r="C7" s="26"/>
    </row>
    <row r="8" customFormat="false" ht="14.25" hidden="false" customHeight="true" outlineLevel="0" collapsed="false">
      <c r="A8" s="5" t="s">
        <v>738</v>
      </c>
      <c r="B8" s="24" t="n">
        <f aca="false">CASH_REQ</f>
        <v>5323799444.41627</v>
      </c>
      <c r="C8" s="26"/>
    </row>
    <row r="9" customFormat="false" ht="14.25" hidden="false" customHeight="true" outlineLevel="0" collapsed="false">
      <c r="A9" s="5" t="s">
        <v>739</v>
      </c>
      <c r="B9" s="24" t="n">
        <f aca="false">EQ_TDOMA</f>
        <v>3992849583.3122</v>
      </c>
      <c r="C9" s="26"/>
    </row>
    <row r="10" customFormat="false" ht="14.25" hidden="false" customHeight="true" outlineLevel="0" collapsed="false">
      <c r="A10" s="5" t="s">
        <v>435</v>
      </c>
      <c r="B10" s="24" t="n">
        <f aca="false">DEBT_V</f>
        <v>1330949861.10407</v>
      </c>
      <c r="C10" s="26"/>
    </row>
    <row r="11" customFormat="false" ht="14.25" hidden="false" customHeight="true" outlineLevel="0" collapsed="false">
      <c r="A11" s="5" t="s">
        <v>740</v>
      </c>
      <c r="B11" s="24" t="n">
        <f aca="false">Capex!$B$29</f>
        <v>0</v>
      </c>
      <c r="C11" s="26" t="s">
        <v>741</v>
      </c>
    </row>
    <row r="12" customFormat="false" ht="14.25" hidden="false" customHeight="true" outlineLevel="0" collapsed="false">
      <c r="A12" s="5" t="s">
        <v>742</v>
      </c>
      <c r="B12" s="24" t="n">
        <f aca="false">CAPEX/FX</f>
        <v>42836246.5276017</v>
      </c>
      <c r="C12" s="26"/>
    </row>
    <row r="14" customFormat="false" ht="14.25" hidden="false" customHeight="true" outlineLevel="0" collapsed="false">
      <c r="A14" s="10" t="s">
        <v>743</v>
      </c>
      <c r="B14" s="11"/>
      <c r="C14" s="11"/>
      <c r="D14" s="11"/>
      <c r="E14" s="11"/>
      <c r="F14" s="11"/>
      <c r="G14" s="11"/>
      <c r="H14" s="11"/>
      <c r="I14" s="11"/>
      <c r="J14" s="11"/>
      <c r="K14" s="11"/>
      <c r="L14" s="11"/>
      <c r="M14" s="11"/>
      <c r="N14" s="11"/>
      <c r="O14" s="11"/>
      <c r="P14" s="11"/>
    </row>
    <row r="15" customFormat="false" ht="14.25" hidden="false" customHeight="true" outlineLevel="0" collapsed="false">
      <c r="A15" s="5" t="s">
        <v>744</v>
      </c>
      <c r="B15" s="24" t="n">
        <f aca="false">Returns!$B$11</f>
        <v>2860779265.57551</v>
      </c>
      <c r="C15" s="26" t="s">
        <v>745</v>
      </c>
    </row>
    <row r="16" customFormat="false" ht="14.25" hidden="false" customHeight="true" outlineLevel="0" collapsed="false">
      <c r="A16" s="5" t="s">
        <v>564</v>
      </c>
      <c r="B16" s="38" t="n">
        <f aca="false">Returns!$B$12</f>
        <v>0.283064328335427</v>
      </c>
      <c r="C16" s="26"/>
    </row>
    <row r="17" customFormat="false" ht="14.25" hidden="false" customHeight="true" outlineLevel="0" collapsed="false">
      <c r="A17" s="5" t="s">
        <v>746</v>
      </c>
      <c r="B17" s="24" t="n">
        <f aca="false">Returns!$B$13</f>
        <v>1119542382.32665</v>
      </c>
      <c r="C17" s="26"/>
    </row>
    <row r="18" customFormat="false" ht="14.25" hidden="false" customHeight="true" outlineLevel="0" collapsed="false">
      <c r="A18" s="5" t="s">
        <v>566</v>
      </c>
      <c r="B18" s="38" t="n">
        <f aca="false">Returns!$B$14</f>
        <v>0.241900297026282</v>
      </c>
      <c r="C18" s="26"/>
    </row>
    <row r="19" customFormat="false" ht="14.25" hidden="false" customHeight="true" outlineLevel="0" collapsed="false">
      <c r="A19" s="5" t="s">
        <v>747</v>
      </c>
      <c r="B19" s="38" t="n">
        <f aca="false">Returns!$B$16</f>
        <v>0.175496700958561</v>
      </c>
      <c r="C19" s="26" t="s">
        <v>748</v>
      </c>
    </row>
    <row r="20" customFormat="false" ht="14.25" hidden="false" customHeight="true" outlineLevel="0" collapsed="false">
      <c r="A20" s="5" t="s">
        <v>570</v>
      </c>
      <c r="B20" s="61" t="n">
        <f aca="false">Returns!$B$19</f>
        <v>1.41729678530381</v>
      </c>
      <c r="C20" s="26" t="s">
        <v>749</v>
      </c>
    </row>
    <row r="22" customFormat="false" ht="14.25" hidden="false" customHeight="true" outlineLevel="0" collapsed="false">
      <c r="A22" s="10" t="s">
        <v>750</v>
      </c>
      <c r="B22" s="11"/>
      <c r="C22" s="11"/>
      <c r="D22" s="11"/>
      <c r="E22" s="11"/>
      <c r="F22" s="11"/>
      <c r="G22" s="11"/>
      <c r="H22" s="11"/>
      <c r="I22" s="11"/>
      <c r="J22" s="11"/>
      <c r="K22" s="11"/>
      <c r="L22" s="11"/>
      <c r="M22" s="11"/>
      <c r="N22" s="11"/>
      <c r="O22" s="11"/>
      <c r="P22" s="11"/>
    </row>
    <row r="23" customFormat="false" ht="14.25" hidden="false" customHeight="true" outlineLevel="0" collapsed="false">
      <c r="A23" s="5" t="s">
        <v>751</v>
      </c>
      <c r="B23" s="24" t="n">
        <f aca="false">Returns!$B$25</f>
        <v>16004076089.6032</v>
      </c>
      <c r="C23" s="26"/>
    </row>
    <row r="24" customFormat="false" ht="14.25" hidden="false" customHeight="true" outlineLevel="0" collapsed="false">
      <c r="A24" s="5" t="s">
        <v>752</v>
      </c>
      <c r="B24" s="24" t="n">
        <f aca="false">Returns!$B$26</f>
        <v>6853799444.41627</v>
      </c>
      <c r="C24" s="26"/>
    </row>
    <row r="25" customFormat="false" ht="14.25" hidden="false" customHeight="true" outlineLevel="0" collapsed="false">
      <c r="A25" s="5" t="s">
        <v>753</v>
      </c>
      <c r="B25" s="62" t="n">
        <f aca="false">Returns!$B$27</f>
        <v>9150276645.18694</v>
      </c>
      <c r="C25" s="26"/>
    </row>
    <row r="26" customFormat="false" ht="14.25" hidden="false" customHeight="true" outlineLevel="0" collapsed="false">
      <c r="A26" s="5" t="s">
        <v>754</v>
      </c>
      <c r="B26" s="63" t="n">
        <f aca="false">Returns!$B$28</f>
        <v>1.33506629708017</v>
      </c>
      <c r="C26" s="26"/>
    </row>
    <row r="28" customFormat="false" ht="14.25" hidden="false" customHeight="true" outlineLevel="0" collapsed="false">
      <c r="A28" s="10" t="s">
        <v>755</v>
      </c>
      <c r="B28" s="11"/>
      <c r="C28" s="11"/>
      <c r="D28" s="11"/>
      <c r="E28" s="11"/>
      <c r="F28" s="11"/>
      <c r="G28" s="11"/>
      <c r="H28" s="11"/>
      <c r="I28" s="11"/>
      <c r="J28" s="11"/>
      <c r="K28" s="11"/>
      <c r="L28" s="11"/>
      <c r="M28" s="11"/>
      <c r="N28" s="11"/>
      <c r="O28" s="11"/>
      <c r="P28" s="11"/>
    </row>
    <row r="29" customFormat="false" ht="14.25" hidden="false" customHeight="true" outlineLevel="0" collapsed="false">
      <c r="A29" s="5" t="s">
        <v>756</v>
      </c>
      <c r="B29" s="64" t="str">
        <f aca="false">Checks!$B$17</f>
        <v>13 / 13</v>
      </c>
      <c r="C29" s="26"/>
    </row>
    <row r="31" customFormat="false" ht="14.25" hidden="false" customHeight="true" outlineLevel="0" collapsed="false">
      <c r="A31" s="65" t="s">
        <v>757</v>
      </c>
    </row>
    <row r="32" customFormat="false" ht="14.25" hidden="false" customHeight="true" outlineLevel="0" collapsed="false">
      <c r="A32" s="66" t="s">
        <v>758</v>
      </c>
    </row>
    <row r="33" customFormat="false" ht="14.25" hidden="false" customHeight="true" outlineLevel="0" collapsed="false">
      <c r="A33" s="66" t="s">
        <v>759</v>
      </c>
    </row>
    <row r="34" customFormat="false" ht="14.25" hidden="false" customHeight="true" outlineLevel="0" collapsed="false">
      <c r="A34" s="66" t="s">
        <v>760</v>
      </c>
    </row>
    <row r="35" customFormat="false" ht="14.25" hidden="false" customHeight="true" outlineLevel="0" collapsed="false">
      <c r="A35" s="66" t="str">
        <f aca="false">"Project IRR "&amp;TEXT(Returns!$B$12,"0.0%")&amp;", equity IRR "&amp;TEXT(Returns!$B$14,"0.0%")&amp;" — "&amp;IF(Returns!$B$12&gt;=DISC,"clears","MISSES")&amp;" the "&amp;TEXT(DISC,"0%")&amp;" project hurdle; "&amp;IF(Returns!$B$14&gt;=EQ_HURDLE,"clears","MISSES")&amp;" the "&amp;TEXT(EQ_HURDLE,"0%")&amp;" equity hurdle."</f>
        <v>Project IRR 28.3%, equity IRR 24.2% — clears the 20% project hurdle; clears the 24% equity hurdle.</v>
      </c>
    </row>
    <row r="36" customFormat="false" ht="14.25" hidden="false" customHeight="true" outlineLevel="0" collapsed="false">
      <c r="A36" s="66" t="str">
        <f aca="false">"Minimum DSCR is "&amp;TEXT(Returns!$B$19,"0.00")&amp;"x — "&amp;IF(Returns!$B$19&gt;=DSCR_COV,"clears","BREACHES")&amp;" the "&amp;TEXT(DSCR_COV,"0.00")&amp;"x covenant."</f>
        <v>Minimum DSCR is 1.42x — clears the 1.30x covenant.</v>
      </c>
    </row>
    <row r="37" customFormat="false" ht="14.25" hidden="false" customHeight="true" outlineLevel="0" collapsed="false">
      <c r="A37" s="66" t="s">
        <v>761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2026-07-21T15:10:34Z</dcterms:created>
  <dc:creator>openpyxl</dc:creator>
  <dc:description/>
  <dc:language>en-US</dc:language>
  <cp:lastModifiedBy>Efrem Melkamu</cp:lastModifiedBy>
  <dcterms:modified xsi:type="dcterms:W3CDTF">2026-07-23T07:32:34Z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PEX">
    <vt:lpwstr/>
  </property>
  <property fmtid="{D5CDD505-2E9C-101B-9397-08002B2CF9AE}" pid="3" name="TAX">
    <vt:lpwstr/>
  </property>
</Properties>
</file>